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f31188dc24d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c9ee2b06bca4f75"/>
    <x:sheet xmlns:r="http://schemas.openxmlformats.org/officeDocument/2006/relationships" name="Inventory" sheetId="2" r:id="Ra892c7d521b54c78"/>
    <x:sheet xmlns:r="http://schemas.openxmlformats.org/officeDocument/2006/relationships" name="Stock Ledger" sheetId="3" r:id="R32bc64e8afd04f57"/>
    <x:sheet xmlns:r="http://schemas.openxmlformats.org/officeDocument/2006/relationships" name="Purchase Orders" sheetId="4" r:id="R40ec442ef30d49d5"/>
    <x:sheet xmlns:r="http://schemas.openxmlformats.org/officeDocument/2006/relationships" name="Weekly MIS" sheetId="5" r:id="R7c704b4becc044f2"/>
    <x:sheet xmlns:r="http://schemas.openxmlformats.org/officeDocument/2006/relationships" name="SOPs" sheetId="6" r:id="Rcc67306f3ff240cd"/>
    <x:sheet xmlns:r="http://schemas.openxmlformats.org/officeDocument/2006/relationships" name="How to Use" sheetId="7" r:id="R2ad505dc7d7a4c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"/>
    <x:numFmt numFmtId="201" formatCode="₹#,##0.00"/>
    <x:numFmt numFmtId="202" formatCode="dd-mmm-yyyy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9"/>
      <x:color rgb="FFFFFFFF"/>
      <x:name val="Carlito"/>
    </x:font>
    <x:font>
      <x:b/>
      <x:sz val="19"/>
      <x:color rgb="FF17365D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sz val="10"/>
      <x:color rgb="FF243447"/>
      <x:name val="Carlito"/>
    </x:font>
    <x:font>
      <x:sz val="10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C00000"/>
      </x:font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49c5c642d14884" /><Relationship Type="http://schemas.openxmlformats.org/officeDocument/2006/relationships/theme" Target="/xl/theme/theme1.xml" Id="Rc2a79765874047ac" /><Relationship Type="http://schemas.openxmlformats.org/officeDocument/2006/relationships/sharedStrings" Target="/xl/sharedStrings.xml" Id="R38e2108c921e4d30" /><Relationship Type="http://schemas.openxmlformats.org/officeDocument/2006/relationships/worksheet" Target="/xl/worksheets/sheet1.xml" Id="R2c9ee2b06bca4f75" /><Relationship Type="http://schemas.openxmlformats.org/officeDocument/2006/relationships/worksheet" Target="/xl/worksheets/sheet2.xml" Id="Ra892c7d521b54c78" /><Relationship Type="http://schemas.openxmlformats.org/officeDocument/2006/relationships/worksheet" Target="/xl/worksheets/sheet3.xml" Id="R32bc64e8afd04f57" /><Relationship Type="http://schemas.openxmlformats.org/officeDocument/2006/relationships/worksheet" Target="/xl/worksheets/sheet4.xml" Id="R40ec442ef30d49d5" /><Relationship Type="http://schemas.openxmlformats.org/officeDocument/2006/relationships/worksheet" Target="/xl/worksheets/sheet5.xml" Id="R7c704b4becc044f2" /><Relationship Type="http://schemas.openxmlformats.org/officeDocument/2006/relationships/worksheet" Target="/xl/worksheets/sheet6.xml" Id="Rcc67306f3ff240cd" /><Relationship Type="http://schemas.openxmlformats.org/officeDocument/2006/relationships/worksheet" Target="/xl/worksheets/sheet7.xml" Id="R2ad505dc7d7a4c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f1ca8467064a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Items by Category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Items</c:v>
          </c:tx>
          <c:cat>
            <c:strRef>
              <c:f>'Dashboard'!$A$10:$A$14</c:f>
              <c:strCache>
                <c:ptCount val="0"/>
              </c:strCache>
            </c:strRef>
          </c:cat>
          <c:val>
            <c:numRef>
              <c:f>'Dashboard'!$B$10:$B$14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f1ca8467064a5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ventoryRegister" displayName="InventoryRegister" ref="A4:K24" headerRowCount="1" totalsRowCount="0" totalsRowShown="0">
  <x:tableColumns count="11">
    <x:tableColumn id="1" name="SKU"/>
    <x:tableColumn id="2" name="Item Description"/>
    <x:tableColumn id="3" name="Category"/>
    <x:tableColumn id="4" name="Opening Stock"/>
    <x:tableColumn id="5" name="Reorder Point"/>
    <x:tableColumn id="6" name="Unit Cost (₹)"/>
    <x:tableColumn id="7" name="Qty Change (Ledger)"/>
    <x:tableColumn id="8" name="Current Stock"/>
    <x:tableColumn id="9" name="Stock Value (₹)"/>
    <x:tableColumn id="10" name="Reorder Flag"/>
    <x:tableColumn id="11" name="Review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ockMovementLedger" displayName="StockMovementLedger" ref="A4:I44" headerRowCount="1" totalsRowCount="0" totalsRowShown="0">
  <x:tableColumns count="9">
    <x:tableColumn id="1" name="Movement ID"/>
    <x:tableColumn id="2" name="Date"/>
    <x:tableColumn id="3" name="SKU"/>
    <x:tableColumn id="4" name="Item Description"/>
    <x:tableColumn id="5" name="Movement Type"/>
    <x:tableColumn id="6" name="Qty Change (+/-)"/>
    <x:tableColumn id="7" name="Reference / Document"/>
    <x:tableColumn id="8" name="Recorded By"/>
    <x:tableColumn id="9" name="Verification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rchaseOrderTracker" displayName="PurchaseOrderTracker" ref="A4:J16" headerRowCount="1" totalsRowCount="0" totalsRowShown="0">
  <x:tableColumns count="10">
    <x:tableColumn id="1" name="PO ID"/>
    <x:tableColumn id="2" name="Order Date"/>
    <x:tableColumn id="3" name="Supplier"/>
    <x:tableColumn id="4" name="SKU"/>
    <x:tableColumn id="5" name="Item Description"/>
    <x:tableColumn id="6" name="Qty Ordered"/>
    <x:tableColumn id="7" name="Qty Received"/>
    <x:tableColumn id="8" name="Qty Outstanding"/>
    <x:tableColumn id="9" name="Status"/>
    <x:tableColumn id="10" name="Expected Delive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82752ffbf94a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4bee5c234b48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1da5f7202148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39c3753e374ee4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9" hidden="0" customWidth="1"/>
    <x:col min="4" max="4" width="4" hidden="0" customWidth="1"/>
    <x:col min="5" max="5" width="27" hidden="0" customWidth="1"/>
    <x:col min="6" max="6" width="19" hidden="0" customWidth="1"/>
    <x:col min="7" max="7" width="18" hidden="0" customWidth="1"/>
    <x:col min="8" max="8" width="18" hidden="0" customWidth="1"/>
  </x:cols>
  <x:sheetData>
    <x:row r="1" ht="32" customHeight="1">
      <x:c r="A1" s="5" t="str">
        <x:v>BACK OFFICE OPERATIONS &amp; MIS</x:v>
      </x:c>
      <x:c r="B1" s="5"/>
      <x:c r="C1" s="5"/>
      <x:c r="D1" s="5"/>
      <x:c r="E1" s="5"/>
      <x:c r="F1" s="5"/>
      <x:c r="G1" s="5"/>
      <x:c r="H1" s="5"/>
    </x:row>
    <x:row r="2" ht="25" customHeight="1">
      <x:c r="A2" s="14" t="str">
        <x:v>Portfolio simulation | Inventory, purchasing, stock controls and weekly management reporting</x:v>
      </x:c>
      <x:c r="B2" s="14"/>
      <x:c r="C2" s="14"/>
      <x:c r="D2" s="14"/>
      <x:c r="E2" s="14"/>
      <x:c r="F2" s="14"/>
      <x:c r="G2" s="14"/>
      <x:c r="H2" s="14"/>
    </x:row>
    <x:row r="4" ht="22" customHeight="1">
      <x:c r="A4" s="23" t="str">
        <x:v>SKU / ITEMS</x:v>
      </x:c>
      <x:c r="B4" s="23"/>
      <x:c r="C4" s="23" t="str">
        <x:v>TOTAL STOCK VALUE</x:v>
      </x:c>
      <x:c r="D4" s="23"/>
      <x:c r="E4" s="23" t="str">
        <x:v>REORDER ALERTS</x:v>
      </x:c>
      <x:c r="F4" s="23"/>
      <x:c r="G4" s="23" t="str">
        <x:v>OPEN PURCHASE ORDERS</x:v>
      </x:c>
      <x:c r="H4" s="23"/>
    </x:row>
    <x:row r="5" ht="28" customHeight="1">
      <x:c r="A5" s="31" t="n">
        <x:f>COUNTA(Inventory!A5:A24)</x:f>
        <x:v>20</x:v>
      </x:c>
      <x:c r="B5" s="31"/>
      <x:c r="C5" s="31" t="n">
        <x:f>SUM(Inventory!I5:I24)</x:f>
        <x:v>114600</x:v>
      </x:c>
      <x:c r="D5" s="31"/>
      <x:c r="E5" s="31" t="n">
        <x:f>COUNTIF(Inventory!J5:J24,"REORDER")</x:f>
        <x:v>7</x:v>
      </x:c>
      <x:c r="F5" s="31"/>
      <x:c r="G5" s="31" t="n">
        <x:f>COUNTIF('Purchase Orders'!I5:I16,"Open")+COUNTIF('Purchase Orders'!I5:I16,"Part received")</x:f>
        <x:v>8</x:v>
      </x:c>
      <x:c r="H5" s="31"/>
    </x:row>
    <x:row r="6" ht="28" customHeight="1">
      <x:c r="A6" s="31"/>
      <x:c r="B6" s="31"/>
      <x:c r="C6" s="31"/>
      <x:c r="D6" s="31"/>
      <x:c r="E6" s="31"/>
      <x:c r="F6" s="31"/>
      <x:c r="G6" s="31"/>
      <x:c r="H6" s="31"/>
    </x:row>
    <x:row r="8" ht="24" customHeight="1">
      <x:c r="A8" s="36" t="str">
        <x:v>INVENTORY HEALTH BY CATEGORY</x:v>
      </x:c>
      <x:c r="B8" s="36"/>
      <x:c r="C8" s="36"/>
      <x:c r="D8" s="36"/>
      <x:c r="E8" s="36" t="str">
        <x:v>WEEKLY CONTROL SUMMARY</x:v>
      </x:c>
      <x:c r="F8" s="36"/>
      <x:c r="G8" s="36"/>
      <x:c r="H8" s="36"/>
    </x:row>
    <x:row r="9" ht="30" customHeight="1">
      <x:c r="A9" s="41" t="str">
        <x:v>Category</x:v>
      </x:c>
      <x:c r="B9" s="41" t="str">
        <x:v>Items</x:v>
      </x:c>
      <x:c r="C9" s="41" t="str">
        <x:v>Stock Value (₹)</x:v>
      </x:c>
      <x:c r="E9" s="41" t="str">
        <x:v>Metric</x:v>
      </x:c>
      <x:c r="F9" s="41" t="str">
        <x:v>Value</x:v>
      </x:c>
    </x:row>
    <x:row r="10">
      <x:c r="A10" s="48" t="str">
        <x:v>Stationery</x:v>
      </x:c>
      <x:c r="B10" s="48" t="n">
        <x:f>COUNTIF(Inventory!$C$5:$C$24,A10)</x:f>
        <x:v>4</x:v>
      </x:c>
      <x:c r="C10" s="52" t="n">
        <x:f>SUMIF(Inventory!$C$5:$C$24,A10,Inventory!$I$5:$I$24)</x:f>
        <x:v>58300</x:v>
      </x:c>
      <x:c r="E10" s="48" t="str">
        <x:v>Movements logged</x:v>
      </x:c>
      <x:c r="F10" s="48" t="n">
        <x:f>COUNTA('Stock Ledger'!A5:A44)</x:f>
        <x:v>40</x:v>
      </x:c>
    </x:row>
    <x:row r="11">
      <x:c r="A11" s="48" t="str">
        <x:v>Packaging</x:v>
      </x:c>
      <x:c r="B11" s="48" t="n">
        <x:f>COUNTIF(Inventory!$C$5:$C$24,A11)</x:f>
        <x:v>4</x:v>
      </x:c>
      <x:c r="C11" s="52" t="n">
        <x:f>SUMIF(Inventory!$C$5:$C$24,A11,Inventory!$I$5:$I$24)</x:f>
        <x:v>23850</x:v>
      </x:c>
      <x:c r="E11" s="48" t="str">
        <x:v>Items below reorder point</x:v>
      </x:c>
      <x:c r="F11" s="48" t="n">
        <x:f>COUNTIF(Inventory!J5:J24,"REORDER")</x:f>
        <x:v>7</x:v>
      </x:c>
    </x:row>
    <x:row r="12">
      <x:c r="A12" s="48" t="str">
        <x:v>Office Electronics</x:v>
      </x:c>
      <x:c r="B12" s="48" t="n">
        <x:f>COUNTIF(Inventory!$C$5:$C$24,A12)</x:f>
        <x:v>4</x:v>
      </x:c>
      <x:c r="C12" s="52" t="n">
        <x:f>SUMIF(Inventory!$C$5:$C$24,A12,Inventory!$I$5:$I$24)</x:f>
        <x:v>15830</x:v>
      </x:c>
      <x:c r="E12" s="48" t="str">
        <x:v>Purchase orders</x:v>
      </x:c>
      <x:c r="F12" s="48" t="n">
        <x:f>COUNTA('Purchase Orders'!A5:A16)</x:f>
        <x:v>12</x:v>
      </x:c>
    </x:row>
    <x:row r="13">
      <x:c r="A13" s="48" t="str">
        <x:v>Cleaning</x:v>
      </x:c>
      <x:c r="B13" s="48" t="n">
        <x:f>COUNTIF(Inventory!$C$5:$C$24,A13)</x:f>
        <x:v>4</x:v>
      </x:c>
      <x:c r="C13" s="52" t="n">
        <x:f>SUMIF(Inventory!$C$5:$C$24,A13,Inventory!$I$5:$I$24)</x:f>
        <x:v>8390</x:v>
      </x:c>
      <x:c r="E13" s="48" t="str">
        <x:v>Purchase qty outstanding</x:v>
      </x:c>
      <x:c r="F13" s="48" t="n">
        <x:f>SUM('Purchase Orders'!H5:H16)</x:f>
        <x:v>172</x:v>
      </x:c>
    </x:row>
    <x:row r="14">
      <x:c r="A14" s="48" t="str">
        <x:v>Safety &amp; PPE</x:v>
      </x:c>
      <x:c r="B14" s="48" t="n">
        <x:f>COUNTIF(Inventory!$C$5:$C$24,A14)</x:f>
        <x:v>4</x:v>
      </x:c>
      <x:c r="C14" s="52" t="n">
        <x:f>SUMIF(Inventory!$C$5:$C$24,A14,Inventory!$I$5:$I$24)</x:f>
        <x:v>8230</x:v>
      </x:c>
    </x:row>
    <x:row r="34">
      <x:c r="A34" s="57" t="str">
        <x:v>This is an illustrative operations workbook. Inventory and purchase-order values are synthetic. Verify physical counts and approvals before making actual purchasing decisions.</x:v>
      </x:c>
      <x:c r="B34" s="57"/>
      <x:c r="C34" s="57"/>
      <x:c r="D34" s="57"/>
      <x:c r="E34" s="57"/>
      <x:c r="F34" s="57"/>
      <x:c r="G34" s="57"/>
      <x:c r="H34" s="57"/>
    </x:row>
    <x:row r="35">
      <x:c r="A35" s="57"/>
      <x:c r="B35" s="57"/>
      <x:c r="C35" s="57"/>
      <x:c r="D35" s="57"/>
      <x:c r="E35" s="57"/>
      <x:c r="F35" s="57"/>
      <x:c r="G35" s="57"/>
      <x:c r="H35" s="57"/>
    </x:row>
    <x:row r="36">
      <x:c r="A36" s="57"/>
      <x:c r="B36" s="57"/>
      <x:c r="C36" s="57"/>
      <x:c r="D36" s="57"/>
      <x:c r="E36" s="57"/>
      <x:c r="F36" s="57"/>
      <x:c r="G36" s="57"/>
      <x:c r="H36" s="57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D8"/>
    <x:mergeCell ref="E8:H8"/>
    <x:mergeCell ref="A34:H36"/>
  </x:mergeCells>
  <x:pageMargins left="0.7" right="0.7" top="0.75" bottom="0.75" header="0.3" footer="0.3"/>
  <x:drawing xmlns:r="http://schemas.openxmlformats.org/officeDocument/2006/relationships" r:id="R7582752ffbf94a8e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21" hidden="0" customWidth="1"/>
    <x:col min="4" max="4" width="15" hidden="0" customWidth="1"/>
    <x:col min="5" max="5" width="15" hidden="0" customWidth="1"/>
    <x:col min="6" max="6" width="17" hidden="0" customWidth="1"/>
    <x:col min="7" max="7" width="20" hidden="0" customWidth="1"/>
    <x:col min="8" max="8" width="16" hidden="0" customWidth="1"/>
    <x:col min="9" max="9" width="19" hidden="0" customWidth="1"/>
    <x:col min="10" max="10" width="16" hidden="0" customWidth="1"/>
    <x:col min="11" max="11" width="33" hidden="0" customWidth="1"/>
  </x:cols>
  <x:sheetData>
    <x:row r="1" ht="32" customHeight="1">
      <x:c r="A1" s="5" t="str">
        <x:v>INVENTORY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5" customHeight="1">
      <x:c r="A2" s="14" t="str">
        <x:v>Current stock = opening stock + stock ledger movements. Edit inventory and log changes in Stock Ledger.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4" ht="30" customHeight="1">
      <x:c r="A4" s="41" t="str">
        <x:v>SKU</x:v>
      </x:c>
      <x:c r="B4" s="41" t="str">
        <x:v>Item Description</x:v>
      </x:c>
      <x:c r="C4" s="41" t="str">
        <x:v>Category</x:v>
      </x:c>
      <x:c r="D4" s="41" t="str">
        <x:v>Opening Stock</x:v>
      </x:c>
      <x:c r="E4" s="41" t="str">
        <x:v>Reorder Point</x:v>
      </x:c>
      <x:c r="F4" s="41" t="str">
        <x:v>Unit Cost (₹)</x:v>
      </x:c>
      <x:c r="G4" s="41" t="str">
        <x:v>Qty Change (Ledger)</x:v>
      </x:c>
      <x:c r="H4" s="41" t="str">
        <x:v>Current Stock</x:v>
      </x:c>
      <x:c r="I4" s="41" t="str">
        <x:v>Stock Value (₹)</x:v>
      </x:c>
      <x:c r="J4" s="41" t="str">
        <x:v>Reorder Flag</x:v>
      </x:c>
      <x:c r="K4" s="41" t="str">
        <x:v>Review Note</x:v>
      </x:c>
    </x:row>
    <x:row r="5">
      <x:c r="A5" s="48" t="str">
        <x:v>SKU-001</x:v>
      </x:c>
      <x:c r="B5" s="48" t="str">
        <x:v>A4 copier paper carton</x:v>
      </x:c>
      <x:c r="C5" s="48" t="str">
        <x:v>Stationery</x:v>
      </x:c>
      <x:c r="D5" s="48" t="n">
        <x:v>35</x:v>
      </x:c>
      <x:c r="E5" s="48" t="n">
        <x:v>12</x:v>
      </x:c>
      <x:c r="F5" s="62" t="n">
        <x:v>1250</x:v>
      </x:c>
      <x:c r="G5" s="48" t="n">
        <x:f>SUMIF('Stock Ledger'!$C$5:$C$44,A5,'Stock Ledger'!$F$5:$F$44)</x:f>
        <x:v>-2</x:v>
      </x:c>
      <x:c r="H5" s="48" t="n">
        <x:f>D5+G5</x:f>
        <x:v>33</x:v>
      </x:c>
      <x:c r="I5" s="52" t="n">
        <x:f>H5*F5</x:f>
        <x:v>41250</x:v>
      </x:c>
      <x:c r="J5" s="48" t="str">
        <x:f>IF(H5&lt;=E5,"REORDER","OK")</x:f>
        <x:v>OK</x:v>
      </x:c>
      <x:c r="K5" s="48" t="str">
        <x:v>Check physical count weekly</x:v>
      </x:c>
    </x:row>
    <x:row r="6">
      <x:c r="A6" s="48" t="str">
        <x:v>SKU-002</x:v>
      </x:c>
      <x:c r="B6" s="48" t="str">
        <x:v>Blue ballpoint pens box</x:v>
      </x:c>
      <x:c r="C6" s="48" t="str">
        <x:v>Stationery</x:v>
      </x:c>
      <x:c r="D6" s="48" t="n">
        <x:v>42</x:v>
      </x:c>
      <x:c r="E6" s="48" t="n">
        <x:v>15</x:v>
      </x:c>
      <x:c r="F6" s="62" t="n">
        <x:v>260</x:v>
      </x:c>
      <x:c r="G6" s="48" t="n">
        <x:f>SUMIF('Stock Ledger'!$C$5:$C$44,A6,'Stock Ledger'!$F$5:$F$44)</x:f>
        <x:v>-12</x:v>
      </x:c>
      <x:c r="H6" s="48" t="n">
        <x:f>D6+G6</x:f>
        <x:v>30</x:v>
      </x:c>
      <x:c r="I6" s="52" t="n">
        <x:f>H6*F6</x:f>
        <x:v>7800</x:v>
      </x:c>
      <x:c r="J6" s="48" t="str">
        <x:f>IF(H6&lt;=E6,"REORDER","OK")</x:f>
        <x:v>OK</x:v>
      </x:c>
      <x:c r="K6" s="48" t="str">
        <x:v>Check weekly usage</x:v>
      </x:c>
    </x:row>
    <x:row r="7">
      <x:c r="A7" s="48" t="str">
        <x:v>SKU-003</x:v>
      </x:c>
      <x:c r="B7" s="48" t="str">
        <x:v>A4 files pack</x:v>
      </x:c>
      <x:c r="C7" s="48" t="str">
        <x:v>Stationery</x:v>
      </x:c>
      <x:c r="D7" s="48" t="n">
        <x:v>28</x:v>
      </x:c>
      <x:c r="E7" s="48" t="n">
        <x:v>10</x:v>
      </x:c>
      <x:c r="F7" s="62" t="n">
        <x:v>380</x:v>
      </x:c>
      <x:c r="G7" s="48" t="n">
        <x:f>SUMIF('Stock Ledger'!$C$5:$C$44,A7,'Stock Ledger'!$F$5:$F$44)</x:f>
        <x:v>-8</x:v>
      </x:c>
      <x:c r="H7" s="48" t="n">
        <x:f>D7+G7</x:f>
        <x:v>20</x:v>
      </x:c>
      <x:c r="I7" s="52" t="n">
        <x:f>H7*F7</x:f>
        <x:v>7600</x:v>
      </x:c>
      <x:c r="J7" s="48" t="str">
        <x:f>IF(H7&lt;=E7,"REORDER","OK")</x:f>
        <x:v>OK</x:v>
      </x:c>
      <x:c r="K7" s="48" t="str">
        <x:v>Check document sequence</x:v>
      </x:c>
    </x:row>
    <x:row r="8">
      <x:c r="A8" s="48" t="str">
        <x:v>SKU-004</x:v>
      </x:c>
      <x:c r="B8" s="48" t="str">
        <x:v>Sticky notes pack</x:v>
      </x:c>
      <x:c r="C8" s="48" t="str">
        <x:v>Stationery</x:v>
      </x:c>
      <x:c r="D8" s="48" t="n">
        <x:v>18</x:v>
      </x:c>
      <x:c r="E8" s="48" t="n">
        <x:v>8</x:v>
      </x:c>
      <x:c r="F8" s="62" t="n">
        <x:v>150</x:v>
      </x:c>
      <x:c r="G8" s="48" t="n">
        <x:f>SUMIF('Stock Ledger'!$C$5:$C$44,A8,'Stock Ledger'!$F$5:$F$44)</x:f>
        <x:v>-7</x:v>
      </x:c>
      <x:c r="H8" s="48" t="n">
        <x:f>D8+G8</x:f>
        <x:v>11</x:v>
      </x:c>
      <x:c r="I8" s="52" t="n">
        <x:f>H8*F8</x:f>
        <x:v>1650</x:v>
      </x:c>
      <x:c r="J8" s="48" t="str">
        <x:f>IF(H8&lt;=E8,"REORDER","OK")</x:f>
        <x:v>OK</x:v>
      </x:c>
      <x:c r="K8" s="48" t="str">
        <x:v>Check storage location</x:v>
      </x:c>
    </x:row>
    <x:row r="9">
      <x:c r="A9" s="48" t="str">
        <x:v>SKU-005</x:v>
      </x:c>
      <x:c r="B9" s="48" t="str">
        <x:v>Thermal labels roll</x:v>
      </x:c>
      <x:c r="C9" s="48" t="str">
        <x:v>Packaging</x:v>
      </x:c>
      <x:c r="D9" s="48" t="n">
        <x:v>22</x:v>
      </x:c>
      <x:c r="E9" s="48" t="n">
        <x:v>8</x:v>
      </x:c>
      <x:c r="F9" s="62" t="n">
        <x:v>420</x:v>
      </x:c>
      <x:c r="G9" s="48" t="n">
        <x:f>SUMIF('Stock Ledger'!$C$5:$C$44,A9,'Stock Ledger'!$F$5:$F$44)</x:f>
        <x:v>7</x:v>
      </x:c>
      <x:c r="H9" s="48" t="n">
        <x:f>D9+G9</x:f>
        <x:v>29</x:v>
      </x:c>
      <x:c r="I9" s="52" t="n">
        <x:f>H9*F9</x:f>
        <x:v>12180</x:v>
      </x:c>
      <x:c r="J9" s="48" t="str">
        <x:f>IF(H9&lt;=E9,"REORDER","OK")</x:f>
        <x:v>OK</x:v>
      </x:c>
      <x:c r="K9" s="48" t="str">
        <x:v>Use approved supplier</x:v>
      </x:c>
    </x:row>
    <x:row r="10">
      <x:c r="A10" s="48" t="str">
        <x:v>SKU-006</x:v>
      </x:c>
      <x:c r="B10" s="48" t="str">
        <x:v>Corrugated carton medium</x:v>
      </x:c>
      <x:c r="C10" s="48" t="str">
        <x:v>Packaging</x:v>
      </x:c>
      <x:c r="D10" s="48" t="n">
        <x:v>80</x:v>
      </x:c>
      <x:c r="E10" s="48" t="n">
        <x:v>25</x:v>
      </x:c>
      <x:c r="F10" s="62" t="n">
        <x:v>38</x:v>
      </x:c>
      <x:c r="G10" s="48" t="n">
        <x:f>SUMIF('Stock Ledger'!$C$5:$C$44,A10,'Stock Ledger'!$F$5:$F$44)</x:f>
        <x:v>-20</x:v>
      </x:c>
      <x:c r="H10" s="48" t="n">
        <x:f>D10+G10</x:f>
        <x:v>60</x:v>
      </x:c>
      <x:c r="I10" s="52" t="n">
        <x:f>H10*F10</x:f>
        <x:v>2280</x:v>
      </x:c>
      <x:c r="J10" s="48" t="str">
        <x:f>IF(H10&lt;=E10,"REORDER","OK")</x:f>
        <x:v>OK</x:v>
      </x:c>
      <x:c r="K10" s="48" t="str">
        <x:v>Confirm carton dimensions</x:v>
      </x:c>
    </x:row>
    <x:row r="11">
      <x:c r="A11" s="48" t="str">
        <x:v>SKU-007</x:v>
      </x:c>
      <x:c r="B11" s="48" t="str">
        <x:v>Bubble wrap roll</x:v>
      </x:c>
      <x:c r="C11" s="48" t="str">
        <x:v>Packaging</x:v>
      </x:c>
      <x:c r="D11" s="48" t="n">
        <x:v>15</x:v>
      </x:c>
      <x:c r="E11" s="48" t="n">
        <x:v>6</x:v>
      </x:c>
      <x:c r="F11" s="62" t="n">
        <x:v>550</x:v>
      </x:c>
      <x:c r="G11" s="48" t="n">
        <x:f>SUMIF('Stock Ledger'!$C$5:$C$44,A11,'Stock Ledger'!$F$5:$F$44)</x:f>
        <x:v>-9</x:v>
      </x:c>
      <x:c r="H11" s="48" t="n">
        <x:f>D11+G11</x:f>
        <x:v>6</x:v>
      </x:c>
      <x:c r="I11" s="52" t="n">
        <x:f>H11*F11</x:f>
        <x:v>3300</x:v>
      </x:c>
      <x:c r="J11" s="48" t="str">
        <x:f>IF(H11&lt;=E11,"REORDER","OK")</x:f>
        <x:v>REORDER</x:v>
      </x:c>
      <x:c r="K11" s="48" t="str">
        <x:v>Store away from moisture</x:v>
      </x:c>
    </x:row>
    <x:row r="12">
      <x:c r="A12" s="48" t="str">
        <x:v>SKU-008</x:v>
      </x:c>
      <x:c r="B12" s="48" t="str">
        <x:v>Packing tape carton</x:v>
      </x:c>
      <x:c r="C12" s="48" t="str">
        <x:v>Packaging</x:v>
      </x:c>
      <x:c r="D12" s="48" t="n">
        <x:v>27</x:v>
      </x:c>
      <x:c r="E12" s="48" t="n">
        <x:v>10</x:v>
      </x:c>
      <x:c r="F12" s="62" t="n">
        <x:v>210</x:v>
      </x:c>
      <x:c r="G12" s="48" t="n">
        <x:f>SUMIF('Stock Ledger'!$C$5:$C$44,A12,'Stock Ledger'!$F$5:$F$44)</x:f>
        <x:v>2</x:v>
      </x:c>
      <x:c r="H12" s="48" t="n">
        <x:f>D12+G12</x:f>
        <x:v>29</x:v>
      </x:c>
      <x:c r="I12" s="52" t="n">
        <x:f>H12*F12</x:f>
        <x:v>6090</x:v>
      </x:c>
      <x:c r="J12" s="48" t="str">
        <x:f>IF(H12&lt;=E12,"REORDER","OK")</x:f>
        <x:v>OK</x:v>
      </x:c>
      <x:c r="K12" s="48" t="str">
        <x:v>Verify tape quality</x:v>
      </x:c>
    </x:row>
    <x:row r="13">
      <x:c r="A13" s="48" t="str">
        <x:v>SKU-009</x:v>
      </x:c>
      <x:c r="B13" s="48" t="str">
        <x:v>USB keyboard</x:v>
      </x:c>
      <x:c r="C13" s="48" t="str">
        <x:v>Office Electronics</x:v>
      </x:c>
      <x:c r="D13" s="48" t="n">
        <x:v>14</x:v>
      </x:c>
      <x:c r="E13" s="48" t="n">
        <x:v>5</x:v>
      </x:c>
      <x:c r="F13" s="62" t="n">
        <x:v>650</x:v>
      </x:c>
      <x:c r="G13" s="48" t="n">
        <x:f>SUMIF('Stock Ledger'!$C$5:$C$44,A13,'Stock Ledger'!$F$5:$F$44)</x:f>
        <x:v>-6</x:v>
      </x:c>
      <x:c r="H13" s="48" t="n">
        <x:f>D13+G13</x:f>
        <x:v>8</x:v>
      </x:c>
      <x:c r="I13" s="52" t="n">
        <x:f>H13*F13</x:f>
        <x:v>5200</x:v>
      </x:c>
      <x:c r="J13" s="48" t="str">
        <x:f>IF(H13&lt;=E13,"REORDER","OK")</x:f>
        <x:v>OK</x:v>
      </x:c>
      <x:c r="K13" s="48" t="str">
        <x:v>Check device compatibility</x:v>
      </x:c>
    </x:row>
    <x:row r="14">
      <x:c r="A14" s="48" t="str">
        <x:v>SKU-010</x:v>
      </x:c>
      <x:c r="B14" s="48" t="str">
        <x:v>Wireless mouse</x:v>
      </x:c>
      <x:c r="C14" s="48" t="str">
        <x:v>Office Electronics</x:v>
      </x:c>
      <x:c r="D14" s="48" t="n">
        <x:v>18</x:v>
      </x:c>
      <x:c r="E14" s="48" t="n">
        <x:v>6</x:v>
      </x:c>
      <x:c r="F14" s="62" t="n">
        <x:v>520</x:v>
      </x:c>
      <x:c r="G14" s="48" t="n">
        <x:f>SUMIF('Stock Ledger'!$C$5:$C$44,A14,'Stock Ledger'!$F$5:$F$44)</x:f>
        <x:v>-6</x:v>
      </x:c>
      <x:c r="H14" s="48" t="n">
        <x:f>D14+G14</x:f>
        <x:v>12</x:v>
      </x:c>
      <x:c r="I14" s="52" t="n">
        <x:f>H14*F14</x:f>
        <x:v>6240</x:v>
      </x:c>
      <x:c r="J14" s="48" t="str">
        <x:f>IF(H14&lt;=E14,"REORDER","OK")</x:f>
        <x:v>OK</x:v>
      </x:c>
      <x:c r="K14" s="48" t="str">
        <x:v>Check warranty</x:v>
      </x:c>
    </x:row>
    <x:row r="15">
      <x:c r="A15" s="48" t="str">
        <x:v>SKU-011</x:v>
      </x:c>
      <x:c r="B15" s="48" t="str">
        <x:v>HDMI cable</x:v>
      </x:c>
      <x:c r="C15" s="48" t="str">
        <x:v>Office Electronics</x:v>
      </x:c>
      <x:c r="D15" s="48" t="n">
        <x:v>11</x:v>
      </x:c>
      <x:c r="E15" s="48" t="n">
        <x:v>4</x:v>
      </x:c>
      <x:c r="F15" s="62" t="n">
        <x:v>310</x:v>
      </x:c>
      <x:c r="G15" s="48" t="n">
        <x:f>SUMIF('Stock Ledger'!$C$5:$C$44,A15,'Stock Ledger'!$F$5:$F$44)</x:f>
        <x:v>-4</x:v>
      </x:c>
      <x:c r="H15" s="48" t="n">
        <x:f>D15+G15</x:f>
        <x:v>7</x:v>
      </x:c>
      <x:c r="I15" s="52" t="n">
        <x:f>H15*F15</x:f>
        <x:v>2170</x:v>
      </x:c>
      <x:c r="J15" s="48" t="str">
        <x:f>IF(H15&lt;=E15,"REORDER","OK")</x:f>
        <x:v>OK</x:v>
      </x:c>
      <x:c r="K15" s="48" t="str">
        <x:v>Verify port type</x:v>
      </x:c>
    </x:row>
    <x:row r="16">
      <x:c r="A16" s="48" t="str">
        <x:v>SKU-012</x:v>
      </x:c>
      <x:c r="B16" s="48" t="str">
        <x:v>USB-C adapter</x:v>
      </x:c>
      <x:c r="C16" s="48" t="str">
        <x:v>Office Electronics</x:v>
      </x:c>
      <x:c r="D16" s="48" t="n">
        <x:v>9</x:v>
      </x:c>
      <x:c r="E16" s="48" t="n">
        <x:v>4</x:v>
      </x:c>
      <x:c r="F16" s="62" t="n">
        <x:v>740</x:v>
      </x:c>
      <x:c r="G16" s="48" t="n">
        <x:f>SUMIF('Stock Ledger'!$C$5:$C$44,A16,'Stock Ledger'!$F$5:$F$44)</x:f>
        <x:v>-6</x:v>
      </x:c>
      <x:c r="H16" s="48" t="n">
        <x:f>D16+G16</x:f>
        <x:v>3</x:v>
      </x:c>
      <x:c r="I16" s="52" t="n">
        <x:f>H16*F16</x:f>
        <x:v>2220</x:v>
      </x:c>
      <x:c r="J16" s="48" t="str">
        <x:f>IF(H16&lt;=E16,"REORDER","OK")</x:f>
        <x:v>REORDER</x:v>
      </x:c>
      <x:c r="K16" s="48" t="str">
        <x:v>Confirm device model</x:v>
      </x:c>
    </x:row>
    <x:row r="17">
      <x:c r="A17" s="48" t="str">
        <x:v>SKU-013</x:v>
      </x:c>
      <x:c r="B17" s="48" t="str">
        <x:v>Surface cleaner 5L</x:v>
      </x:c>
      <x:c r="C17" s="48" t="str">
        <x:v>Cleaning</x:v>
      </x:c>
      <x:c r="D17" s="48" t="n">
        <x:v>13</x:v>
      </x:c>
      <x:c r="E17" s="48" t="n">
        <x:v>5</x:v>
      </x:c>
      <x:c r="F17" s="62" t="n">
        <x:v>460</x:v>
      </x:c>
      <x:c r="G17" s="48" t="n">
        <x:f>SUMIF('Stock Ledger'!$C$5:$C$44,A17,'Stock Ledger'!$F$5:$F$44)</x:f>
        <x:v>-4</x:v>
      </x:c>
      <x:c r="H17" s="48" t="n">
        <x:f>D17+G17</x:f>
        <x:v>9</x:v>
      </x:c>
      <x:c r="I17" s="52" t="n">
        <x:f>H17*F17</x:f>
        <x:v>4140</x:v>
      </x:c>
      <x:c r="J17" s="48" t="str">
        <x:f>IF(H17&lt;=E17,"REORDER","OK")</x:f>
        <x:v>OK</x:v>
      </x:c>
      <x:c r="K17" s="48" t="str">
        <x:v>Use dilution guidance</x:v>
      </x:c>
    </x:row>
    <x:row r="18">
      <x:c r="A18" s="48" t="str">
        <x:v>SKU-014</x:v>
      </x:c>
      <x:c r="B18" s="48" t="str">
        <x:v>Microfiber cloth pack</x:v>
      </x:c>
      <x:c r="C18" s="48" t="str">
        <x:v>Cleaning</x:v>
      </x:c>
      <x:c r="D18" s="48" t="n">
        <x:v>24</x:v>
      </x:c>
      <x:c r="E18" s="48" t="n">
        <x:v>8</x:v>
      </x:c>
      <x:c r="F18" s="62" t="n">
        <x:v>190</x:v>
      </x:c>
      <x:c r="G18" s="48" t="n">
        <x:f>SUMIF('Stock Ledger'!$C$5:$C$44,A18,'Stock Ledger'!$F$5:$F$44)</x:f>
        <x:v>-12</x:v>
      </x:c>
      <x:c r="H18" s="48" t="n">
        <x:f>D18+G18</x:f>
        <x:v>12</x:v>
      </x:c>
      <x:c r="I18" s="52" t="n">
        <x:f>H18*F18</x:f>
        <x:v>2280</x:v>
      </x:c>
      <x:c r="J18" s="48" t="str">
        <x:f>IF(H18&lt;=E18,"REORDER","OK")</x:f>
        <x:v>OK</x:v>
      </x:c>
      <x:c r="K18" s="48" t="str">
        <x:v>Track consumable use</x:v>
      </x:c>
    </x:row>
    <x:row r="19">
      <x:c r="A19" s="48" t="str">
        <x:v>SKU-015</x:v>
      </x:c>
      <x:c r="B19" s="48" t="str">
        <x:v>Garbage liner roll</x:v>
      </x:c>
      <x:c r="C19" s="48" t="str">
        <x:v>Cleaning</x:v>
      </x:c>
      <x:c r="D19" s="48" t="n">
        <x:v>21</x:v>
      </x:c>
      <x:c r="E19" s="48" t="n">
        <x:v>7</x:v>
      </x:c>
      <x:c r="F19" s="62" t="n">
        <x:v>160</x:v>
      </x:c>
      <x:c r="G19" s="48" t="n">
        <x:f>SUMIF('Stock Ledger'!$C$5:$C$44,A19,'Stock Ledger'!$F$5:$F$44)</x:f>
        <x:v>-16</x:v>
      </x:c>
      <x:c r="H19" s="48" t="n">
        <x:f>D19+G19</x:f>
        <x:v>5</x:v>
      </x:c>
      <x:c r="I19" s="52" t="n">
        <x:f>H19*F19</x:f>
        <x:v>800</x:v>
      </x:c>
      <x:c r="J19" s="48" t="str">
        <x:f>IF(H19&lt;=E19,"REORDER","OK")</x:f>
        <x:v>REORDER</x:v>
      </x:c>
      <x:c r="K19" s="48" t="str">
        <x:v>Check storage capacity</x:v>
      </x:c>
    </x:row>
    <x:row r="20">
      <x:c r="A20" s="48" t="str">
        <x:v>SKU-016</x:v>
      </x:c>
      <x:c r="B20" s="48" t="str">
        <x:v>Handwash refill 5L</x:v>
      </x:c>
      <x:c r="C20" s="48" t="str">
        <x:v>Cleaning</x:v>
      </x:c>
      <x:c r="D20" s="48" t="n">
        <x:v>12</x:v>
      </x:c>
      <x:c r="E20" s="48" t="n">
        <x:v>5</x:v>
      </x:c>
      <x:c r="F20" s="62" t="n">
        <x:v>390</x:v>
      </x:c>
      <x:c r="G20" s="48" t="n">
        <x:f>SUMIF('Stock Ledger'!$C$5:$C$44,A20,'Stock Ledger'!$F$5:$F$44)</x:f>
        <x:v>-9</x:v>
      </x:c>
      <x:c r="H20" s="48" t="n">
        <x:f>D20+G20</x:f>
        <x:v>3</x:v>
      </x:c>
      <x:c r="I20" s="52" t="n">
        <x:f>H20*F20</x:f>
        <x:v>1170</x:v>
      </x:c>
      <x:c r="J20" s="48" t="str">
        <x:f>IF(H20&lt;=E20,"REORDER","OK")</x:f>
        <x:v>REORDER</x:v>
      </x:c>
      <x:c r="K20" s="48" t="str">
        <x:v>Check expiry date</x:v>
      </x:c>
    </x:row>
    <x:row r="21">
      <x:c r="A21" s="48" t="str">
        <x:v>SKU-017</x:v>
      </x:c>
      <x:c r="B21" s="48" t="str">
        <x:v>Safety gloves box</x:v>
      </x:c>
      <x:c r="C21" s="48" t="str">
        <x:v>Safety &amp; PPE</x:v>
      </x:c>
      <x:c r="D21" s="48" t="n">
        <x:v>19</x:v>
      </x:c>
      <x:c r="E21" s="48" t="n">
        <x:v>7</x:v>
      </x:c>
      <x:c r="F21" s="62" t="n">
        <x:v>330</x:v>
      </x:c>
      <x:c r="G21" s="48" t="n">
        <x:f>SUMIF('Stock Ledger'!$C$5:$C$44,A21,'Stock Ledger'!$F$5:$F$44)</x:f>
        <x:v>-6</x:v>
      </x:c>
      <x:c r="H21" s="48" t="n">
        <x:f>D21+G21</x:f>
        <x:v>13</x:v>
      </x:c>
      <x:c r="I21" s="52" t="n">
        <x:f>H21*F21</x:f>
        <x:v>4290</x:v>
      </x:c>
      <x:c r="J21" s="48" t="str">
        <x:f>IF(H21&lt;=E21,"REORDER","OK")</x:f>
        <x:v>OK</x:v>
      </x:c>
      <x:c r="K21" s="48" t="str">
        <x:v>Confirm PPE size</x:v>
      </x:c>
    </x:row>
    <x:row r="22">
      <x:c r="A22" s="48" t="str">
        <x:v>SKU-018</x:v>
      </x:c>
      <x:c r="B22" s="48" t="str">
        <x:v>Reflective vest</x:v>
      </x:c>
      <x:c r="C22" s="48" t="str">
        <x:v>Safety &amp; PPE</x:v>
      </x:c>
      <x:c r="D22" s="48" t="n">
        <x:v>10</x:v>
      </x:c>
      <x:c r="E22" s="48" t="n">
        <x:v>4</x:v>
      </x:c>
      <x:c r="F22" s="62" t="n">
        <x:v>520</x:v>
      </x:c>
      <x:c r="G22" s="48" t="n">
        <x:f>SUMIF('Stock Ledger'!$C$5:$C$44,A22,'Stock Ledger'!$F$5:$F$44)</x:f>
        <x:v>-8</x:v>
      </x:c>
      <x:c r="H22" s="48" t="n">
        <x:f>D22+G22</x:f>
        <x:v>2</x:v>
      </x:c>
      <x:c r="I22" s="52" t="n">
        <x:f>H22*F22</x:f>
        <x:v>1040</x:v>
      </x:c>
      <x:c r="J22" s="48" t="str">
        <x:f>IF(H22&lt;=E22,"REORDER","OK")</x:f>
        <x:v>REORDER</x:v>
      </x:c>
      <x:c r="K22" s="48" t="str">
        <x:v>Inspect reflective strips</x:v>
      </x:c>
    </x:row>
    <x:row r="23">
      <x:c r="A23" s="48" t="str">
        <x:v>SKU-019</x:v>
      </x:c>
      <x:c r="B23" s="48" t="str">
        <x:v>Safety goggles</x:v>
      </x:c>
      <x:c r="C23" s="48" t="str">
        <x:v>Safety &amp; PPE</x:v>
      </x:c>
      <x:c r="D23" s="48" t="n">
        <x:v>12</x:v>
      </x:c>
      <x:c r="E23" s="48" t="n">
        <x:v>4</x:v>
      </x:c>
      <x:c r="F23" s="62" t="n">
        <x:v>280</x:v>
      </x:c>
      <x:c r="G23" s="48" t="n">
        <x:f>SUMIF('Stock Ledger'!$C$5:$C$44,A23,'Stock Ledger'!$F$5:$F$44)</x:f>
        <x:v>-8</x:v>
      </x:c>
      <x:c r="H23" s="48" t="n">
        <x:f>D23+G23</x:f>
        <x:v>4</x:v>
      </x:c>
      <x:c r="I23" s="52" t="n">
        <x:f>H23*F23</x:f>
        <x:v>1120</x:v>
      </x:c>
      <x:c r="J23" s="48" t="str">
        <x:f>IF(H23&lt;=E23,"REORDER","OK")</x:f>
        <x:v>REORDER</x:v>
      </x:c>
      <x:c r="K23" s="48" t="str">
        <x:v>Check lens condition</x:v>
      </x:c>
    </x:row>
    <x:row r="24">
      <x:c r="A24" s="48" t="str">
        <x:v>SKU-020</x:v>
      </x:c>
      <x:c r="B24" s="48" t="str">
        <x:v>First-aid refill kit</x:v>
      </x:c>
      <x:c r="C24" s="48" t="str">
        <x:v>Safety &amp; PPE</x:v>
      </x:c>
      <x:c r="D24" s="48" t="n">
        <x:v>8</x:v>
      </x:c>
      <x:c r="E24" s="48" t="n">
        <x:v>3</x:v>
      </x:c>
      <x:c r="F24" s="62" t="n">
        <x:v>890</x:v>
      </x:c>
      <x:c r="G24" s="48" t="n">
        <x:f>SUMIF('Stock Ledger'!$C$5:$C$44,A24,'Stock Ledger'!$F$5:$F$44)</x:f>
        <x:v>-6</x:v>
      </x:c>
      <x:c r="H24" s="48" t="n">
        <x:f>D24+G24</x:f>
        <x:v>2</x:v>
      </x:c>
      <x:c r="I24" s="52" t="n">
        <x:f>H24*F24</x:f>
        <x:v>1780</x:v>
      </x:c>
      <x:c r="J24" s="48" t="str">
        <x:f>IF(H24&lt;=E24,"REORDER","OK")</x:f>
        <x:v>REORDER</x:v>
      </x:c>
      <x:c r="K24" s="48" t="str">
        <x:v>Check expiry and seal</x:v>
      </x:c>
    </x:row>
  </x:sheetData>
  <x:mergeCells>
    <x:mergeCell ref="A1:K1"/>
    <x:mergeCell ref="A2:K2"/>
  </x:mergeCells>
  <x:conditionalFormatting sqref="J5:J24">
    <x:cfRule type="expression" dxfId="0" priority="1">
      <x:formula>J5="REORDER"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4bee5c234b48f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3" hidden="0" customWidth="1"/>
    <x:col min="4" max="4" width="30" hidden="0" customWidth="1"/>
    <x:col min="5" max="5" width="17" hidden="0" customWidth="1"/>
    <x:col min="6" max="6" width="20" hidden="0" customWidth="1"/>
    <x:col min="7" max="7" width="22" hidden="0" customWidth="1"/>
    <x:col min="8" max="8" width="16" hidden="0" customWidth="1"/>
    <x:col min="9" max="9" width="21" hidden="0" customWidth="1"/>
  </x:cols>
  <x:sheetData>
    <x:row r="1" ht="32" customHeight="1">
      <x:c r="A1" s="5" t="str">
        <x:v>STOCK MOVEMENT LEDGER</x:v>
      </x:c>
      <x:c r="B1" s="5"/>
      <x:c r="C1" s="5"/>
      <x:c r="D1" s="5"/>
      <x:c r="E1" s="5"/>
      <x:c r="F1" s="5"/>
      <x:c r="G1" s="5"/>
      <x:c r="H1" s="5"/>
      <x:c r="I1" s="5"/>
    </x:row>
    <x:row r="2" ht="25" customHeight="1">
      <x:c r="A2" s="14" t="str">
        <x:v>Record all receipts/issues/adjustments as signed quantities; these entries update Current Stock on Inventory.</x:v>
      </x:c>
      <x:c r="B2" s="14"/>
      <x:c r="C2" s="14"/>
      <x:c r="D2" s="14"/>
      <x:c r="E2" s="14"/>
      <x:c r="F2" s="14"/>
      <x:c r="G2" s="14"/>
      <x:c r="H2" s="14"/>
      <x:c r="I2" s="14"/>
    </x:row>
    <x:row r="4" ht="30" customHeight="1">
      <x:c r="A4" s="41" t="str">
        <x:v>Movement ID</x:v>
      </x:c>
      <x:c r="B4" s="41" t="str">
        <x:v>Date</x:v>
      </x:c>
      <x:c r="C4" s="41" t="str">
        <x:v>SKU</x:v>
      </x:c>
      <x:c r="D4" s="41" t="str">
        <x:v>Item Description</x:v>
      </x:c>
      <x:c r="E4" s="41" t="str">
        <x:v>Movement Type</x:v>
      </x:c>
      <x:c r="F4" s="41" t="str">
        <x:v>Qty Change (+/-)</x:v>
      </x:c>
      <x:c r="G4" s="41" t="str">
        <x:v>Reference / Document</x:v>
      </x:c>
      <x:c r="H4" s="41" t="str">
        <x:v>Recorded By</x:v>
      </x:c>
      <x:c r="I4" s="41" t="str">
        <x:v>Category</x:v>
      </x:c>
    </x:row>
    <x:row r="5">
      <x:c r="A5" s="48" t="str">
        <x:v>MOV-001</x:v>
      </x:c>
      <x:c r="B5" s="64" t="n">
        <x:v>46303</x:v>
      </x:c>
      <x:c r="C5" s="48" t="str">
        <x:v>SKU-001</x:v>
      </x:c>
      <x:c r="D5" s="48" t="str">
        <x:v>A4 copier paper carton</x:v>
      </x:c>
      <x:c r="E5" s="48" t="str">
        <x:v>Issue</x:v>
      </x:c>
      <x:c r="F5" s="48" t="n">
        <x:v>-8</x:v>
      </x:c>
      <x:c r="G5" s="48" t="str">
        <x:v>REF-001</x:v>
      </x:c>
      <x:c r="H5" s="48" t="str">
        <x:v>Ops B</x:v>
      </x:c>
      <x:c r="I5" s="48" t="str">
        <x:v>Stationery</x:v>
      </x:c>
    </x:row>
    <x:row r="6">
      <x:c r="A6" s="48" t="str">
        <x:v>MOV-002</x:v>
      </x:c>
      <x:c r="B6" s="64" t="n">
        <x:v>46302</x:v>
      </x:c>
      <x:c r="C6" s="48" t="str">
        <x:v>SKU-001</x:v>
      </x:c>
      <x:c r="D6" s="48" t="str">
        <x:v>A4 copier paper carton</x:v>
      </x:c>
      <x:c r="E6" s="48" t="str">
        <x:v>Issue</x:v>
      </x:c>
      <x:c r="F6" s="48" t="n">
        <x:v>-5</x:v>
      </x:c>
      <x:c r="G6" s="48" t="str">
        <x:v>REF-002</x:v>
      </x:c>
      <x:c r="H6" s="48" t="str">
        <x:v>Store A</x:v>
      </x:c>
      <x:c r="I6" s="48" t="str">
        <x:v>Stationery</x:v>
      </x:c>
    </x:row>
    <x:row r="7">
      <x:c r="A7" s="48" t="str">
        <x:v>MOV-003</x:v>
      </x:c>
      <x:c r="B7" s="64" t="n">
        <x:v>46301</x:v>
      </x:c>
      <x:c r="C7" s="48" t="str">
        <x:v>SKU-002</x:v>
      </x:c>
      <x:c r="D7" s="48" t="str">
        <x:v>Blue ballpoint pens box</x:v>
      </x:c>
      <x:c r="E7" s="48" t="str">
        <x:v>Issue</x:v>
      </x:c>
      <x:c r="F7" s="48" t="n">
        <x:v>-20</x:v>
      </x:c>
      <x:c r="G7" s="48" t="str">
        <x:v>REF-003</x:v>
      </x:c>
      <x:c r="H7" s="48" t="str">
        <x:v>Ops A</x:v>
      </x:c>
      <x:c r="I7" s="48" t="str">
        <x:v>Stationery</x:v>
      </x:c>
    </x:row>
    <x:row r="8">
      <x:c r="A8" s="48" t="str">
        <x:v>MOV-004</x:v>
      </x:c>
      <x:c r="B8" s="64" t="n">
        <x:v>46300</x:v>
      </x:c>
      <x:c r="C8" s="48" t="str">
        <x:v>SKU-003</x:v>
      </x:c>
      <x:c r="D8" s="48" t="str">
        <x:v>A4 files pack</x:v>
      </x:c>
      <x:c r="E8" s="48" t="str">
        <x:v>Issue</x:v>
      </x:c>
      <x:c r="F8" s="48" t="n">
        <x:v>-14</x:v>
      </x:c>
      <x:c r="G8" s="48" t="str">
        <x:v>REF-004</x:v>
      </x:c>
      <x:c r="H8" s="48" t="str">
        <x:v>Ops B</x:v>
      </x:c>
      <x:c r="I8" s="48" t="str">
        <x:v>Stationery</x:v>
      </x:c>
    </x:row>
    <x:row r="9">
      <x:c r="A9" s="48" t="str">
        <x:v>MOV-005</x:v>
      </x:c>
      <x:c r="B9" s="64" t="n">
        <x:v>46299</x:v>
      </x:c>
      <x:c r="C9" s="48" t="str">
        <x:v>SKU-004</x:v>
      </x:c>
      <x:c r="D9" s="48" t="str">
        <x:v>Sticky notes pack</x:v>
      </x:c>
      <x:c r="E9" s="48" t="str">
        <x:v>Issue</x:v>
      </x:c>
      <x:c r="F9" s="48" t="n">
        <x:v>-7</x:v>
      </x:c>
      <x:c r="G9" s="48" t="str">
        <x:v>REF-005</x:v>
      </x:c>
      <x:c r="H9" s="48" t="str">
        <x:v>Store A</x:v>
      </x:c>
      <x:c r="I9" s="48" t="str">
        <x:v>Stationery</x:v>
      </x:c>
    </x:row>
    <x:row r="10">
      <x:c r="A10" s="48" t="str">
        <x:v>MOV-006</x:v>
      </x:c>
      <x:c r="B10" s="64" t="n">
        <x:v>46298</x:v>
      </x:c>
      <x:c r="C10" s="48" t="str">
        <x:v>SKU-005</x:v>
      </x:c>
      <x:c r="D10" s="48" t="str">
        <x:v>Thermal labels roll</x:v>
      </x:c>
      <x:c r="E10" s="48" t="str">
        <x:v>Issue</x:v>
      </x:c>
      <x:c r="F10" s="48" t="n">
        <x:v>-5</x:v>
      </x:c>
      <x:c r="G10" s="48" t="str">
        <x:v>REF-006</x:v>
      </x:c>
      <x:c r="H10" s="48" t="str">
        <x:v>Ops A</x:v>
      </x:c>
      <x:c r="I10" s="48" t="str">
        <x:v>Packaging</x:v>
      </x:c>
    </x:row>
    <x:row r="11">
      <x:c r="A11" s="48" t="str">
        <x:v>MOV-007</x:v>
      </x:c>
      <x:c r="B11" s="64" t="n">
        <x:v>46297</x:v>
      </x:c>
      <x:c r="C11" s="48" t="str">
        <x:v>SKU-006</x:v>
      </x:c>
      <x:c r="D11" s="48" t="str">
        <x:v>Corrugated carton medium</x:v>
      </x:c>
      <x:c r="E11" s="48" t="str">
        <x:v>Issue</x:v>
      </x:c>
      <x:c r="F11" s="48" t="n">
        <x:v>-20</x:v>
      </x:c>
      <x:c r="G11" s="48" t="str">
        <x:v>REF-007</x:v>
      </x:c>
      <x:c r="H11" s="48" t="str">
        <x:v>Ops B</x:v>
      </x:c>
      <x:c r="I11" s="48" t="str">
        <x:v>Packaging</x:v>
      </x:c>
    </x:row>
    <x:row r="12">
      <x:c r="A12" s="48" t="str">
        <x:v>MOV-008</x:v>
      </x:c>
      <x:c r="B12" s="64" t="n">
        <x:v>46296</x:v>
      </x:c>
      <x:c r="C12" s="48" t="str">
        <x:v>SKU-006</x:v>
      </x:c>
      <x:c r="D12" s="48" t="str">
        <x:v>Corrugated carton medium</x:v>
      </x:c>
      <x:c r="E12" s="48" t="str">
        <x:v>Receipt</x:v>
      </x:c>
      <x:c r="F12" s="48" t="n">
        <x:v>15</x:v>
      </x:c>
      <x:c r="G12" s="48" t="str">
        <x:v>REF-008</x:v>
      </x:c>
      <x:c r="H12" s="48" t="str">
        <x:v>Store A</x:v>
      </x:c>
      <x:c r="I12" s="48" t="str">
        <x:v>Packaging</x:v>
      </x:c>
    </x:row>
    <x:row r="13">
      <x:c r="A13" s="48" t="str">
        <x:v>MOV-009</x:v>
      </x:c>
      <x:c r="B13" s="64" t="n">
        <x:v>46295</x:v>
      </x:c>
      <x:c r="C13" s="48" t="str">
        <x:v>SKU-007</x:v>
      </x:c>
      <x:c r="D13" s="48" t="str">
        <x:v>Bubble wrap roll</x:v>
      </x:c>
      <x:c r="E13" s="48" t="str">
        <x:v>Issue</x:v>
      </x:c>
      <x:c r="F13" s="48" t="n">
        <x:v>-9</x:v>
      </x:c>
      <x:c r="G13" s="48" t="str">
        <x:v>REF-009</x:v>
      </x:c>
      <x:c r="H13" s="48" t="str">
        <x:v>Ops A</x:v>
      </x:c>
      <x:c r="I13" s="48" t="str">
        <x:v>Packaging</x:v>
      </x:c>
    </x:row>
    <x:row r="14">
      <x:c r="A14" s="48" t="str">
        <x:v>MOV-010</x:v>
      </x:c>
      <x:c r="B14" s="64" t="n">
        <x:v>46294</x:v>
      </x:c>
      <x:c r="C14" s="48" t="str">
        <x:v>SKU-008</x:v>
      </x:c>
      <x:c r="D14" s="48" t="str">
        <x:v>Packing tape carton</x:v>
      </x:c>
      <x:c r="E14" s="48" t="str">
        <x:v>Issue</x:v>
      </x:c>
      <x:c r="F14" s="48" t="n">
        <x:v>-12</x:v>
      </x:c>
      <x:c r="G14" s="48" t="str">
        <x:v>REF-010</x:v>
      </x:c>
      <x:c r="H14" s="48" t="str">
        <x:v>Ops B</x:v>
      </x:c>
      <x:c r="I14" s="48" t="str">
        <x:v>Packaging</x:v>
      </x:c>
    </x:row>
    <x:row r="15">
      <x:c r="A15" s="48" t="str">
        <x:v>MOV-011</x:v>
      </x:c>
      <x:c r="B15" s="64" t="n">
        <x:v>46293</x:v>
      </x:c>
      <x:c r="C15" s="48" t="str">
        <x:v>SKU-008</x:v>
      </x:c>
      <x:c r="D15" s="48" t="str">
        <x:v>Packing tape carton</x:v>
      </x:c>
      <x:c r="E15" s="48" t="str">
        <x:v>Receipt</x:v>
      </x:c>
      <x:c r="F15" s="48" t="n">
        <x:v>20</x:v>
      </x:c>
      <x:c r="G15" s="48" t="str">
        <x:v>REF-011</x:v>
      </x:c>
      <x:c r="H15" s="48" t="str">
        <x:v>Store A</x:v>
      </x:c>
      <x:c r="I15" s="48" t="str">
        <x:v>Packaging</x:v>
      </x:c>
    </x:row>
    <x:row r="16">
      <x:c r="A16" s="48" t="str">
        <x:v>MOV-012</x:v>
      </x:c>
      <x:c r="B16" s="64" t="n">
        <x:v>46304</x:v>
      </x:c>
      <x:c r="C16" s="48" t="str">
        <x:v>SKU-009</x:v>
      </x:c>
      <x:c r="D16" s="48" t="str">
        <x:v>USB keyboard</x:v>
      </x:c>
      <x:c r="E16" s="48" t="str">
        <x:v>Issue</x:v>
      </x:c>
      <x:c r="F16" s="48" t="n">
        <x:v>-10</x:v>
      </x:c>
      <x:c r="G16" s="48" t="str">
        <x:v>REF-012</x:v>
      </x:c>
      <x:c r="H16" s="48" t="str">
        <x:v>Ops A</x:v>
      </x:c>
      <x:c r="I16" s="48" t="str">
        <x:v>Office Electronics</x:v>
      </x:c>
    </x:row>
    <x:row r="17">
      <x:c r="A17" s="48" t="str">
        <x:v>MOV-013</x:v>
      </x:c>
      <x:c r="B17" s="64" t="n">
        <x:v>46303</x:v>
      </x:c>
      <x:c r="C17" s="48" t="str">
        <x:v>SKU-010</x:v>
      </x:c>
      <x:c r="D17" s="48" t="str">
        <x:v>Wireless mouse</x:v>
      </x:c>
      <x:c r="E17" s="48" t="str">
        <x:v>Issue</x:v>
      </x:c>
      <x:c r="F17" s="48" t="n">
        <x:v>-12</x:v>
      </x:c>
      <x:c r="G17" s="48" t="str">
        <x:v>REF-013</x:v>
      </x:c>
      <x:c r="H17" s="48" t="str">
        <x:v>Ops B</x:v>
      </x:c>
      <x:c r="I17" s="48" t="str">
        <x:v>Office Electronics</x:v>
      </x:c>
    </x:row>
    <x:row r="18">
      <x:c r="A18" s="48" t="str">
        <x:v>MOV-014</x:v>
      </x:c>
      <x:c r="B18" s="64" t="n">
        <x:v>46302</x:v>
      </x:c>
      <x:c r="C18" s="48" t="str">
        <x:v>SKU-011</x:v>
      </x:c>
      <x:c r="D18" s="48" t="str">
        <x:v>HDMI cable</x:v>
      </x:c>
      <x:c r="E18" s="48" t="str">
        <x:v>Issue</x:v>
      </x:c>
      <x:c r="F18" s="48" t="n">
        <x:v>-4</x:v>
      </x:c>
      <x:c r="G18" s="48" t="str">
        <x:v>REF-014</x:v>
      </x:c>
      <x:c r="H18" s="48" t="str">
        <x:v>Store A</x:v>
      </x:c>
      <x:c r="I18" s="48" t="str">
        <x:v>Office Electronics</x:v>
      </x:c>
    </x:row>
    <x:row r="19">
      <x:c r="A19" s="48" t="str">
        <x:v>MOV-015</x:v>
      </x:c>
      <x:c r="B19" s="64" t="n">
        <x:v>46301</x:v>
      </x:c>
      <x:c r="C19" s="48" t="str">
        <x:v>SKU-012</x:v>
      </x:c>
      <x:c r="D19" s="48" t="str">
        <x:v>USB-C adapter</x:v>
      </x:c>
      <x:c r="E19" s="48" t="str">
        <x:v>Issue</x:v>
      </x:c>
      <x:c r="F19" s="48" t="n">
        <x:v>-6</x:v>
      </x:c>
      <x:c r="G19" s="48" t="str">
        <x:v>REF-015</x:v>
      </x:c>
      <x:c r="H19" s="48" t="str">
        <x:v>Ops A</x:v>
      </x:c>
      <x:c r="I19" s="48" t="str">
        <x:v>Office Electronics</x:v>
      </x:c>
    </x:row>
    <x:row r="20">
      <x:c r="A20" s="48" t="str">
        <x:v>MOV-016</x:v>
      </x:c>
      <x:c r="B20" s="64" t="n">
        <x:v>46300</x:v>
      </x:c>
      <x:c r="C20" s="48" t="str">
        <x:v>SKU-013</x:v>
      </x:c>
      <x:c r="D20" s="48" t="str">
        <x:v>Surface cleaner 5L</x:v>
      </x:c>
      <x:c r="E20" s="48" t="str">
        <x:v>Issue</x:v>
      </x:c>
      <x:c r="F20" s="48" t="n">
        <x:v>-9</x:v>
      </x:c>
      <x:c r="G20" s="48" t="str">
        <x:v>REF-016</x:v>
      </x:c>
      <x:c r="H20" s="48" t="str">
        <x:v>Ops B</x:v>
      </x:c>
      <x:c r="I20" s="48" t="str">
        <x:v>Cleaning</x:v>
      </x:c>
    </x:row>
    <x:row r="21">
      <x:c r="A21" s="48" t="str">
        <x:v>MOV-017</x:v>
      </x:c>
      <x:c r="B21" s="64" t="n">
        <x:v>46299</x:v>
      </x:c>
      <x:c r="C21" s="48" t="str">
        <x:v>SKU-014</x:v>
      </x:c>
      <x:c r="D21" s="48" t="str">
        <x:v>Microfiber cloth pack</x:v>
      </x:c>
      <x:c r="E21" s="48" t="str">
        <x:v>Issue</x:v>
      </x:c>
      <x:c r="F21" s="48" t="n">
        <x:v>-12</x:v>
      </x:c>
      <x:c r="G21" s="48" t="str">
        <x:v>REF-017</x:v>
      </x:c>
      <x:c r="H21" s="48" t="str">
        <x:v>Store A</x:v>
      </x:c>
      <x:c r="I21" s="48" t="str">
        <x:v>Cleaning</x:v>
      </x:c>
    </x:row>
    <x:row r="22">
      <x:c r="A22" s="48" t="str">
        <x:v>MOV-018</x:v>
      </x:c>
      <x:c r="B22" s="64" t="n">
        <x:v>46298</x:v>
      </x:c>
      <x:c r="C22" s="48" t="str">
        <x:v>SKU-015</x:v>
      </x:c>
      <x:c r="D22" s="48" t="str">
        <x:v>Garbage liner roll</x:v>
      </x:c>
      <x:c r="E22" s="48" t="str">
        <x:v>Issue</x:v>
      </x:c>
      <x:c r="F22" s="48" t="n">
        <x:v>-16</x:v>
      </x:c>
      <x:c r="G22" s="48" t="str">
        <x:v>REF-018</x:v>
      </x:c>
      <x:c r="H22" s="48" t="str">
        <x:v>Ops A</x:v>
      </x:c>
      <x:c r="I22" s="48" t="str">
        <x:v>Cleaning</x:v>
      </x:c>
    </x:row>
    <x:row r="23">
      <x:c r="A23" s="48" t="str">
        <x:v>MOV-019</x:v>
      </x:c>
      <x:c r="B23" s="64" t="n">
        <x:v>46297</x:v>
      </x:c>
      <x:c r="C23" s="48" t="str">
        <x:v>SKU-016</x:v>
      </x:c>
      <x:c r="D23" s="48" t="str">
        <x:v>Handwash refill 5L</x:v>
      </x:c>
      <x:c r="E23" s="48" t="str">
        <x:v>Issue</x:v>
      </x:c>
      <x:c r="F23" s="48" t="n">
        <x:v>-8</x:v>
      </x:c>
      <x:c r="G23" s="48" t="str">
        <x:v>REF-019</x:v>
      </x:c>
      <x:c r="H23" s="48" t="str">
        <x:v>Ops B</x:v>
      </x:c>
      <x:c r="I23" s="48" t="str">
        <x:v>Cleaning</x:v>
      </x:c>
    </x:row>
    <x:row r="24">
      <x:c r="A24" s="48" t="str">
        <x:v>MOV-020</x:v>
      </x:c>
      <x:c r="B24" s="64" t="n">
        <x:v>46296</x:v>
      </x:c>
      <x:c r="C24" s="48" t="str">
        <x:v>SKU-017</x:v>
      </x:c>
      <x:c r="D24" s="48" t="str">
        <x:v>Safety gloves box</x:v>
      </x:c>
      <x:c r="E24" s="48" t="str">
        <x:v>Issue</x:v>
      </x:c>
      <x:c r="F24" s="48" t="n">
        <x:v>-14</x:v>
      </x:c>
      <x:c r="G24" s="48" t="str">
        <x:v>REF-020</x:v>
      </x:c>
      <x:c r="H24" s="48" t="str">
        <x:v>Store A</x:v>
      </x:c>
      <x:c r="I24" s="48" t="str">
        <x:v>Safety &amp; PPE</x:v>
      </x:c>
    </x:row>
    <x:row r="25">
      <x:c r="A25" s="48" t="str">
        <x:v>MOV-021</x:v>
      </x:c>
      <x:c r="B25" s="64" t="n">
        <x:v>46295</x:v>
      </x:c>
      <x:c r="C25" s="48" t="str">
        <x:v>SKU-017</x:v>
      </x:c>
      <x:c r="D25" s="48" t="str">
        <x:v>Safety gloves box</x:v>
      </x:c>
      <x:c r="E25" s="48" t="str">
        <x:v>Receipt</x:v>
      </x:c>
      <x:c r="F25" s="48" t="n">
        <x:v>10</x:v>
      </x:c>
      <x:c r="G25" s="48" t="str">
        <x:v>REF-021</x:v>
      </x:c>
      <x:c r="H25" s="48" t="str">
        <x:v>Ops A</x:v>
      </x:c>
      <x:c r="I25" s="48" t="str">
        <x:v>Safety &amp; PPE</x:v>
      </x:c>
    </x:row>
    <x:row r="26">
      <x:c r="A26" s="48" t="str">
        <x:v>MOV-022</x:v>
      </x:c>
      <x:c r="B26" s="64" t="n">
        <x:v>46294</x:v>
      </x:c>
      <x:c r="C26" s="48" t="str">
        <x:v>SKU-018</x:v>
      </x:c>
      <x:c r="D26" s="48" t="str">
        <x:v>Reflective vest</x:v>
      </x:c>
      <x:c r="E26" s="48" t="str">
        <x:v>Issue</x:v>
      </x:c>
      <x:c r="F26" s="48" t="n">
        <x:v>-7</x:v>
      </x:c>
      <x:c r="G26" s="48" t="str">
        <x:v>REF-022</x:v>
      </x:c>
      <x:c r="H26" s="48" t="str">
        <x:v>Ops B</x:v>
      </x:c>
      <x:c r="I26" s="48" t="str">
        <x:v>Safety &amp; PPE</x:v>
      </x:c>
    </x:row>
    <x:row r="27">
      <x:c r="A27" s="48" t="str">
        <x:v>MOV-023</x:v>
      </x:c>
      <x:c r="B27" s="64" t="n">
        <x:v>46293</x:v>
      </x:c>
      <x:c r="C27" s="48" t="str">
        <x:v>SKU-019</x:v>
      </x:c>
      <x:c r="D27" s="48" t="str">
        <x:v>Safety goggles</x:v>
      </x:c>
      <x:c r="E27" s="48" t="str">
        <x:v>Issue</x:v>
      </x:c>
      <x:c r="F27" s="48" t="n">
        <x:v>-9</x:v>
      </x:c>
      <x:c r="G27" s="48" t="str">
        <x:v>REF-023</x:v>
      </x:c>
      <x:c r="H27" s="48" t="str">
        <x:v>Store A</x:v>
      </x:c>
      <x:c r="I27" s="48" t="str">
        <x:v>Safety &amp; PPE</x:v>
      </x:c>
    </x:row>
    <x:row r="28">
      <x:c r="A28" s="48" t="str">
        <x:v>MOV-024</x:v>
      </x:c>
      <x:c r="B28" s="64" t="n">
        <x:v>46304</x:v>
      </x:c>
      <x:c r="C28" s="48" t="str">
        <x:v>SKU-020</x:v>
      </x:c>
      <x:c r="D28" s="48" t="str">
        <x:v>First-aid refill kit</x:v>
      </x:c>
      <x:c r="E28" s="48" t="str">
        <x:v>Issue</x:v>
      </x:c>
      <x:c r="F28" s="48" t="n">
        <x:v>-5</x:v>
      </x:c>
      <x:c r="G28" s="48" t="str">
        <x:v>REF-024</x:v>
      </x:c>
      <x:c r="H28" s="48" t="str">
        <x:v>Ops A</x:v>
      </x:c>
      <x:c r="I28" s="48" t="str">
        <x:v>Safety &amp; PPE</x:v>
      </x:c>
    </x:row>
    <x:row r="29">
      <x:c r="A29" s="48" t="str">
        <x:v>MOV-025</x:v>
      </x:c>
      <x:c r="B29" s="64" t="n">
        <x:v>46299</x:v>
      </x:c>
      <x:c r="C29" s="48" t="str">
        <x:v>SKU-001</x:v>
      </x:c>
      <x:c r="D29" s="48" t="str">
        <x:v>A4 copier paper carton</x:v>
      </x:c>
      <x:c r="E29" s="48" t="str">
        <x:v>Receipt</x:v>
      </x:c>
      <x:c r="F29" s="48" t="n">
        <x:v>10</x:v>
      </x:c>
      <x:c r="G29" s="48" t="str">
        <x:v>REF-025</x:v>
      </x:c>
      <x:c r="H29" s="48" t="str">
        <x:v>Ops B</x:v>
      </x:c>
      <x:c r="I29" s="48" t="str">
        <x:v>Stationery</x:v>
      </x:c>
    </x:row>
    <x:row r="30">
      <x:c r="A30" s="48" t="str">
        <x:v>MOV-026</x:v>
      </x:c>
      <x:c r="B30" s="64" t="n">
        <x:v>46298</x:v>
      </x:c>
      <x:c r="C30" s="48" t="str">
        <x:v>SKU-002</x:v>
      </x:c>
      <x:c r="D30" s="48" t="str">
        <x:v>Blue ballpoint pens box</x:v>
      </x:c>
      <x:c r="E30" s="48" t="str">
        <x:v>Receipt</x:v>
      </x:c>
      <x:c r="F30" s="48" t="n">
        <x:v>8</x:v>
      </x:c>
      <x:c r="G30" s="48" t="str">
        <x:v>REF-026</x:v>
      </x:c>
      <x:c r="H30" s="48" t="str">
        <x:v>Store A</x:v>
      </x:c>
      <x:c r="I30" s="48" t="str">
        <x:v>Stationery</x:v>
      </x:c>
    </x:row>
    <x:row r="31">
      <x:c r="A31" s="48" t="str">
        <x:v>MOV-027</x:v>
      </x:c>
      <x:c r="B31" s="64" t="n">
        <x:v>46297</x:v>
      </x:c>
      <x:c r="C31" s="48" t="str">
        <x:v>SKU-003</x:v>
      </x:c>
      <x:c r="D31" s="48" t="str">
        <x:v>A4 files pack</x:v>
      </x:c>
      <x:c r="E31" s="48" t="str">
        <x:v>Receipt</x:v>
      </x:c>
      <x:c r="F31" s="48" t="n">
        <x:v>6</x:v>
      </x:c>
      <x:c r="G31" s="48" t="str">
        <x:v>REF-027</x:v>
      </x:c>
      <x:c r="H31" s="48" t="str">
        <x:v>Ops A</x:v>
      </x:c>
      <x:c r="I31" s="48" t="str">
        <x:v>Stationery</x:v>
      </x:c>
    </x:row>
    <x:row r="32">
      <x:c r="A32" s="48" t="str">
        <x:v>MOV-028</x:v>
      </x:c>
      <x:c r="B32" s="64" t="n">
        <x:v>46296</x:v>
      </x:c>
      <x:c r="C32" s="48" t="str">
        <x:v>SKU-005</x:v>
      </x:c>
      <x:c r="D32" s="48" t="str">
        <x:v>Thermal labels roll</x:v>
      </x:c>
      <x:c r="E32" s="48" t="str">
        <x:v>Receipt</x:v>
      </x:c>
      <x:c r="F32" s="48" t="n">
        <x:v>12</x:v>
      </x:c>
      <x:c r="G32" s="48" t="str">
        <x:v>REF-028</x:v>
      </x:c>
      <x:c r="H32" s="48" t="str">
        <x:v>Ops B</x:v>
      </x:c>
      <x:c r="I32" s="48" t="str">
        <x:v>Packaging</x:v>
      </x:c>
    </x:row>
    <x:row r="33">
      <x:c r="A33" s="48" t="str">
        <x:v>MOV-029</x:v>
      </x:c>
      <x:c r="B33" s="64" t="n">
        <x:v>46295</x:v>
      </x:c>
      <x:c r="C33" s="48" t="str">
        <x:v>SKU-006</x:v>
      </x:c>
      <x:c r="D33" s="48" t="str">
        <x:v>Corrugated carton medium</x:v>
      </x:c>
      <x:c r="E33" s="48" t="str">
        <x:v>Issue</x:v>
      </x:c>
      <x:c r="F33" s="48" t="n">
        <x:v>-15</x:v>
      </x:c>
      <x:c r="G33" s="48" t="str">
        <x:v>REF-029</x:v>
      </x:c>
      <x:c r="H33" s="48" t="str">
        <x:v>Store A</x:v>
      </x:c>
      <x:c r="I33" s="48" t="str">
        <x:v>Packaging</x:v>
      </x:c>
    </x:row>
    <x:row r="34">
      <x:c r="A34" s="48" t="str">
        <x:v>MOV-030</x:v>
      </x:c>
      <x:c r="B34" s="64" t="n">
        <x:v>46304</x:v>
      </x:c>
      <x:c r="C34" s="48" t="str">
        <x:v>SKU-008</x:v>
      </x:c>
      <x:c r="D34" s="48" t="str">
        <x:v>Packing tape carton</x:v>
      </x:c>
      <x:c r="E34" s="48" t="str">
        <x:v>Issue</x:v>
      </x:c>
      <x:c r="F34" s="48" t="n">
        <x:v>-6</x:v>
      </x:c>
      <x:c r="G34" s="48" t="str">
        <x:v>REF-030</x:v>
      </x:c>
      <x:c r="H34" s="48" t="str">
        <x:v>Ops A</x:v>
      </x:c>
      <x:c r="I34" s="48" t="str">
        <x:v>Packaging</x:v>
      </x:c>
    </x:row>
    <x:row r="35">
      <x:c r="A35" s="48" t="str">
        <x:v>MOV-031</x:v>
      </x:c>
      <x:c r="B35" s="64" t="n">
        <x:v>46303</x:v>
      </x:c>
      <x:c r="C35" s="48" t="str">
        <x:v>SKU-009</x:v>
      </x:c>
      <x:c r="D35" s="48" t="str">
        <x:v>USB keyboard</x:v>
      </x:c>
      <x:c r="E35" s="48" t="str">
        <x:v>Receipt</x:v>
      </x:c>
      <x:c r="F35" s="48" t="n">
        <x:v>4</x:v>
      </x:c>
      <x:c r="G35" s="48" t="str">
        <x:v>REF-031</x:v>
      </x:c>
      <x:c r="H35" s="48" t="str">
        <x:v>Ops B</x:v>
      </x:c>
      <x:c r="I35" s="48" t="str">
        <x:v>Office Electronics</x:v>
      </x:c>
    </x:row>
    <x:row r="36">
      <x:c r="A36" s="48" t="str">
        <x:v>MOV-032</x:v>
      </x:c>
      <x:c r="B36" s="64" t="n">
        <x:v>46302</x:v>
      </x:c>
      <x:c r="C36" s="48" t="str">
        <x:v>SKU-010</x:v>
      </x:c>
      <x:c r="D36" s="48" t="str">
        <x:v>Wireless mouse</x:v>
      </x:c>
      <x:c r="E36" s="48" t="str">
        <x:v>Receipt</x:v>
      </x:c>
      <x:c r="F36" s="48" t="n">
        <x:v>6</x:v>
      </x:c>
      <x:c r="G36" s="48" t="str">
        <x:v>REF-032</x:v>
      </x:c>
      <x:c r="H36" s="48" t="str">
        <x:v>Store A</x:v>
      </x:c>
      <x:c r="I36" s="48" t="str">
        <x:v>Office Electronics</x:v>
      </x:c>
    </x:row>
    <x:row r="37">
      <x:c r="A37" s="48" t="str">
        <x:v>MOV-033</x:v>
      </x:c>
      <x:c r="B37" s="64" t="n">
        <x:v>46301</x:v>
      </x:c>
      <x:c r="C37" s="48" t="str">
        <x:v>SKU-013</x:v>
      </x:c>
      <x:c r="D37" s="48" t="str">
        <x:v>Surface cleaner 5L</x:v>
      </x:c>
      <x:c r="E37" s="48" t="str">
        <x:v>Receipt</x:v>
      </x:c>
      <x:c r="F37" s="48" t="n">
        <x:v>5</x:v>
      </x:c>
      <x:c r="G37" s="48" t="str">
        <x:v>REF-033</x:v>
      </x:c>
      <x:c r="H37" s="48" t="str">
        <x:v>Ops A</x:v>
      </x:c>
      <x:c r="I37" s="48" t="str">
        <x:v>Cleaning</x:v>
      </x:c>
    </x:row>
    <x:row r="38">
      <x:c r="A38" s="48" t="str">
        <x:v>MOV-034</x:v>
      </x:c>
      <x:c r="B38" s="64" t="n">
        <x:v>46300</x:v>
      </x:c>
      <x:c r="C38" s="48" t="str">
        <x:v>SKU-017</x:v>
      </x:c>
      <x:c r="D38" s="48" t="str">
        <x:v>Safety gloves box</x:v>
      </x:c>
      <x:c r="E38" s="48" t="str">
        <x:v>Issue</x:v>
      </x:c>
      <x:c r="F38" s="48" t="n">
        <x:v>-3</x:v>
      </x:c>
      <x:c r="G38" s="48" t="str">
        <x:v>REF-034</x:v>
      </x:c>
      <x:c r="H38" s="48" t="str">
        <x:v>Ops B</x:v>
      </x:c>
      <x:c r="I38" s="48" t="str">
        <x:v>Safety &amp; PPE</x:v>
      </x:c>
    </x:row>
    <x:row r="39">
      <x:c r="A39" s="48" t="str">
        <x:v>MOV-035</x:v>
      </x:c>
      <x:c r="B39" s="64" t="n">
        <x:v>46301</x:v>
      </x:c>
      <x:c r="C39" s="48" t="str">
        <x:v>SKU-016</x:v>
      </x:c>
      <x:c r="D39" s="48" t="str">
        <x:v>Handwash refill 5L</x:v>
      </x:c>
      <x:c r="E39" s="48" t="str">
        <x:v>Issue</x:v>
      </x:c>
      <x:c r="F39" s="48" t="n">
        <x:v>-1</x:v>
      </x:c>
      <x:c r="G39" s="48" t="str">
        <x:v>REF-035</x:v>
      </x:c>
      <x:c r="H39" s="48" t="str">
        <x:v>Ops A</x:v>
      </x:c>
      <x:c r="I39" s="48" t="str">
        <x:v>Cleaning</x:v>
      </x:c>
    </x:row>
    <x:row r="40">
      <x:c r="A40" s="48" t="str">
        <x:v>MOV-036</x:v>
      </x:c>
      <x:c r="B40" s="64" t="n">
        <x:v>46300</x:v>
      </x:c>
      <x:c r="C40" s="48" t="str">
        <x:v>SKU-017</x:v>
      </x:c>
      <x:c r="D40" s="48" t="str">
        <x:v>Safety gloves box</x:v>
      </x:c>
      <x:c r="E40" s="48" t="str">
        <x:v>Receipt</x:v>
      </x:c>
      <x:c r="F40" s="48" t="n">
        <x:v>1</x:v>
      </x:c>
      <x:c r="G40" s="48" t="str">
        <x:v>REF-036</x:v>
      </x:c>
      <x:c r="H40" s="48" t="str">
        <x:v>Ops A</x:v>
      </x:c>
      <x:c r="I40" s="48" t="str">
        <x:v>Safety &amp; PPE</x:v>
      </x:c>
    </x:row>
    <x:row r="41">
      <x:c r="A41" s="48" t="str">
        <x:v>MOV-037</x:v>
      </x:c>
      <x:c r="B41" s="64" t="n">
        <x:v>46299</x:v>
      </x:c>
      <x:c r="C41" s="48" t="str">
        <x:v>SKU-018</x:v>
      </x:c>
      <x:c r="D41" s="48" t="str">
        <x:v>Reflective vest</x:v>
      </x:c>
      <x:c r="E41" s="48" t="str">
        <x:v>Issue</x:v>
      </x:c>
      <x:c r="F41" s="48" t="n">
        <x:v>-1</x:v>
      </x:c>
      <x:c r="G41" s="48" t="str">
        <x:v>REF-037</x:v>
      </x:c>
      <x:c r="H41" s="48" t="str">
        <x:v>Ops A</x:v>
      </x:c>
      <x:c r="I41" s="48" t="str">
        <x:v>Safety &amp; PPE</x:v>
      </x:c>
    </x:row>
    <x:row r="42">
      <x:c r="A42" s="48" t="str">
        <x:v>MOV-038</x:v>
      </x:c>
      <x:c r="B42" s="64" t="n">
        <x:v>46298</x:v>
      </x:c>
      <x:c r="C42" s="48" t="str">
        <x:v>SKU-019</x:v>
      </x:c>
      <x:c r="D42" s="48" t="str">
        <x:v>Safety goggles</x:v>
      </x:c>
      <x:c r="E42" s="48" t="str">
        <x:v>Receipt</x:v>
      </x:c>
      <x:c r="F42" s="48" t="n">
        <x:v>1</x:v>
      </x:c>
      <x:c r="G42" s="48" t="str">
        <x:v>REF-038</x:v>
      </x:c>
      <x:c r="H42" s="48" t="str">
        <x:v>Ops A</x:v>
      </x:c>
      <x:c r="I42" s="48" t="str">
        <x:v>Safety &amp; PPE</x:v>
      </x:c>
    </x:row>
    <x:row r="43">
      <x:c r="A43" s="48" t="str">
        <x:v>MOV-039</x:v>
      </x:c>
      <x:c r="B43" s="64" t="n">
        <x:v>46297</x:v>
      </x:c>
      <x:c r="C43" s="48" t="str">
        <x:v>SKU-020</x:v>
      </x:c>
      <x:c r="D43" s="48" t="str">
        <x:v>First-aid refill kit</x:v>
      </x:c>
      <x:c r="E43" s="48" t="str">
        <x:v>Issue</x:v>
      </x:c>
      <x:c r="F43" s="48" t="n">
        <x:v>-1</x:v>
      </x:c>
      <x:c r="G43" s="48" t="str">
        <x:v>REF-039</x:v>
      </x:c>
      <x:c r="H43" s="48" t="str">
        <x:v>Ops A</x:v>
      </x:c>
      <x:c r="I43" s="48" t="str">
        <x:v>Safety &amp; PPE</x:v>
      </x:c>
    </x:row>
    <x:row r="44">
      <x:c r="A44" s="48" t="str">
        <x:v>MOV-040</x:v>
      </x:c>
      <x:c r="B44" s="64" t="n">
        <x:v>46304</x:v>
      </x:c>
      <x:c r="C44" s="48" t="str">
        <x:v>SKU-001</x:v>
      </x:c>
      <x:c r="D44" s="48" t="str">
        <x:v>A4 copier paper carton</x:v>
      </x:c>
      <x:c r="E44" s="48" t="str">
        <x:v>Receipt</x:v>
      </x:c>
      <x:c r="F44" s="48" t="n">
        <x:v>1</x:v>
      </x:c>
      <x:c r="G44" s="48" t="str">
        <x:v>REF-040</x:v>
      </x:c>
      <x:c r="H44" s="48" t="str">
        <x:v>Ops A</x:v>
      </x:c>
      <x:c r="I44" s="48" t="str">
        <x:v>Stationery</x:v>
      </x:c>
    </x:row>
  </x:sheetData>
  <x:mergeCells>
    <x:mergeCell ref="A1:I1"/>
    <x:mergeCell ref="A2:I2"/>
  </x:mergeCells>
  <x:conditionalFormatting sqref="F5:F44">
    <x:cfRule type="cellIs" dxfId="1" priority="1" operator="lessThan">
      <x:formula>0</x:formula>
    </x:cfRule>
    <x:cfRule type="cellIs" dxfId="3" priority="2" operator="lessThan">
      <x:formula>0</x:formula>
    </x:cfRule>
  </x:conditionalFormatting>
  <x:dataValidations count="1">
    <x:dataValidation type="list" sqref="E5:E44">
      <x:formula1>"Receipt,Issue,Adjustment"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1da5f72021487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7" hidden="0" customWidth="1"/>
    <x:col min="4" max="4" width="13" hidden="0" customWidth="1"/>
    <x:col min="5" max="5" width="30" hidden="0" customWidth="1"/>
    <x:col min="6" max="6" width="15" hidden="0" customWidth="1"/>
    <x:col min="7" max="7" width="16" hidden="0" customWidth="1"/>
    <x:col min="8" max="8" width="18" hidden="0" customWidth="1"/>
    <x:col min="9" max="9" width="17" hidden="0" customWidth="1"/>
    <x:col min="10" max="10" width="18" hidden="0" customWidth="1"/>
  </x:cols>
  <x:sheetData>
    <x:row r="1" ht="32" customHeight="1">
      <x:c r="A1" s="5" t="str">
        <x:v>PURCHASE ORDER TRACKER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5" customHeight="1">
      <x:c r="A2" s="14" t="str">
        <x:v>Track order quantity, receipts and outstanding quantity. PO examples are synthetic.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 ht="30" customHeight="1">
      <x:c r="A4" s="41" t="str">
        <x:v>PO ID</x:v>
      </x:c>
      <x:c r="B4" s="41" t="str">
        <x:v>Order Date</x:v>
      </x:c>
      <x:c r="C4" s="41" t="str">
        <x:v>Supplier</x:v>
      </x:c>
      <x:c r="D4" s="41" t="str">
        <x:v>SKU</x:v>
      </x:c>
      <x:c r="E4" s="41" t="str">
        <x:v>Item Description</x:v>
      </x:c>
      <x:c r="F4" s="41" t="str">
        <x:v>Qty Ordered</x:v>
      </x:c>
      <x:c r="G4" s="41" t="str">
        <x:v>Qty Received</x:v>
      </x:c>
      <x:c r="H4" s="41" t="str">
        <x:v>Qty Outstanding</x:v>
      </x:c>
      <x:c r="I4" s="41" t="str">
        <x:v>Status</x:v>
      </x:c>
      <x:c r="J4" s="41" t="str">
        <x:v>Expected Delivery</x:v>
      </x:c>
    </x:row>
    <x:row r="5">
      <x:c r="A5" s="48" t="str">
        <x:v>PO-2026-001</x:v>
      </x:c>
      <x:c r="B5" s="64" t="n">
        <x:v>46304</x:v>
      </x:c>
      <x:c r="C5" s="48" t="str">
        <x:v>Metro Office Mart</x:v>
      </x:c>
      <x:c r="D5" s="48" t="str">
        <x:v>SKU-001</x:v>
      </x:c>
      <x:c r="E5" s="48" t="str">
        <x:v>A4 copier paper carton</x:v>
      </x:c>
      <x:c r="F5" s="48" t="n">
        <x:v>20</x:v>
      </x:c>
      <x:c r="G5" s="48" t="n">
        <x:v>20</x:v>
      </x:c>
      <x:c r="H5" s="48" t="n">
        <x:f>MAX(0,F5-G5)</x:f>
        <x:v>0</x:v>
      </x:c>
      <x:c r="I5" s="48" t="str">
        <x:f>IF(H5=0,"Received",IF(G5=0,"Open","Part received"))</x:f>
        <x:v>Received</x:v>
      </x:c>
      <x:c r="J5" s="64" t="n">
        <x:v>46305</x:v>
      </x:c>
    </x:row>
    <x:row r="6">
      <x:c r="A6" s="48" t="str">
        <x:v>PO-2026-002</x:v>
      </x:c>
      <x:c r="B6" s="64" t="n">
        <x:v>46302</x:v>
      </x:c>
      <x:c r="C6" s="48" t="str">
        <x:v>PaperTrail Wholesale</x:v>
      </x:c>
      <x:c r="D6" s="48" t="str">
        <x:v>SKU-004</x:v>
      </x:c>
      <x:c r="E6" s="48" t="str">
        <x:v>Sticky notes pack</x:v>
      </x:c>
      <x:c r="F6" s="48" t="n">
        <x:v>30</x:v>
      </x:c>
      <x:c r="G6" s="48" t="n">
        <x:v>0</x:v>
      </x:c>
      <x:c r="H6" s="48" t="n">
        <x:f>MAX(0,F6-G6)</x:f>
        <x:v>30</x:v>
      </x:c>
      <x:c r="I6" s="48" t="str">
        <x:f>IF(H6=0,"Received",IF(G6=0,"Open","Part received"))</x:f>
        <x:v>Open</x:v>
      </x:c>
      <x:c r="J6" s="64" t="n">
        <x:v>46306</x:v>
      </x:c>
    </x:row>
    <x:row r="7">
      <x:c r="A7" s="48" t="str">
        <x:v>PO-2026-003</x:v>
      </x:c>
      <x:c r="B7" s="64" t="n">
        <x:v>46300</x:v>
      </x:c>
      <x:c r="C7" s="48" t="str">
        <x:v>PackRight Supplies</x:v>
      </x:c>
      <x:c r="D7" s="48" t="str">
        <x:v>SKU-007</x:v>
      </x:c>
      <x:c r="E7" s="48" t="str">
        <x:v>Bubble wrap roll</x:v>
      </x:c>
      <x:c r="F7" s="48" t="n">
        <x:v>12</x:v>
      </x:c>
      <x:c r="G7" s="48" t="n">
        <x:v>6</x:v>
      </x:c>
      <x:c r="H7" s="48" t="n">
        <x:f>MAX(0,F7-G7)</x:f>
        <x:v>6</x:v>
      </x:c>
      <x:c r="I7" s="48" t="str">
        <x:f>IF(H7=0,"Received",IF(G7=0,"Open","Part received"))</x:f>
        <x:v>Part received</x:v>
      </x:c>
      <x:c r="J7" s="64" t="n">
        <x:v>46307</x:v>
      </x:c>
    </x:row>
    <x:row r="8">
      <x:c r="A8" s="48" t="str">
        <x:v>PO-2026-004</x:v>
      </x:c>
      <x:c r="B8" s="64" t="n">
        <x:v>46298</x:v>
      </x:c>
      <x:c r="C8" s="48" t="str">
        <x:v>NorthStar Stationers</x:v>
      </x:c>
      <x:c r="D8" s="48" t="str">
        <x:v>SKU-010</x:v>
      </x:c>
      <x:c r="E8" s="48" t="str">
        <x:v>Wireless mouse</x:v>
      </x:c>
      <x:c r="F8" s="48" t="n">
        <x:v>25</x:v>
      </x:c>
      <x:c r="G8" s="48" t="n">
        <x:v>25</x:v>
      </x:c>
      <x:c r="H8" s="48" t="n">
        <x:f>MAX(0,F8-G8)</x:f>
        <x:v>0</x:v>
      </x:c>
      <x:c r="I8" s="48" t="str">
        <x:f>IF(H8=0,"Received",IF(G8=0,"Open","Part received"))</x:f>
        <x:v>Received</x:v>
      </x:c>
      <x:c r="J8" s="64" t="n">
        <x:v>46308</x:v>
      </x:c>
    </x:row>
    <x:row r="9">
      <x:c r="A9" s="48" t="str">
        <x:v>PO-2026-005</x:v>
      </x:c>
      <x:c r="B9" s="64" t="n">
        <x:v>46296</x:v>
      </x:c>
      <x:c r="C9" s="48" t="str">
        <x:v>BlueGate Safety</x:v>
      </x:c>
      <x:c r="D9" s="48" t="str">
        <x:v>SKU-013</x:v>
      </x:c>
      <x:c r="E9" s="48" t="str">
        <x:v>Surface cleaner 5L</x:v>
      </x:c>
      <x:c r="F9" s="48" t="n">
        <x:v>40</x:v>
      </x:c>
      <x:c r="G9" s="48" t="n">
        <x:v>0</x:v>
      </x:c>
      <x:c r="H9" s="48" t="n">
        <x:f>MAX(0,F9-G9)</x:f>
        <x:v>40</x:v>
      </x:c>
      <x:c r="I9" s="48" t="str">
        <x:f>IF(H9=0,"Received",IF(G9=0,"Open","Part received"))</x:f>
        <x:v>Open</x:v>
      </x:c>
      <x:c r="J9" s="64" t="n">
        <x:v>46309</x:v>
      </x:c>
    </x:row>
    <x:row r="10">
      <x:c r="A10" s="48" t="str">
        <x:v>PO-2026-006</x:v>
      </x:c>
      <x:c r="B10" s="64" t="n">
        <x:v>46294</x:v>
      </x:c>
      <x:c r="C10" s="48" t="str">
        <x:v>Cityline Industrial</x:v>
      </x:c>
      <x:c r="D10" s="48" t="str">
        <x:v>SKU-016</x:v>
      </x:c>
      <x:c r="E10" s="48" t="str">
        <x:v>Handwash refill 5L</x:v>
      </x:c>
      <x:c r="F10" s="48" t="n">
        <x:v>15</x:v>
      </x:c>
      <x:c r="G10" s="48" t="n">
        <x:v>5</x:v>
      </x:c>
      <x:c r="H10" s="48" t="n">
        <x:f>MAX(0,F10-G10)</x:f>
        <x:v>10</x:v>
      </x:c>
      <x:c r="I10" s="48" t="str">
        <x:f>IF(H10=0,"Received",IF(G10=0,"Open","Part received"))</x:f>
        <x:v>Part received</x:v>
      </x:c>
      <x:c r="J10" s="64" t="n">
        <x:v>46310</x:v>
      </x:c>
    </x:row>
    <x:row r="11">
      <x:c r="A11" s="48" t="str">
        <x:v>PO-2026-007</x:v>
      </x:c>
      <x:c r="B11" s="64" t="n">
        <x:v>46292</x:v>
      </x:c>
      <x:c r="C11" s="48" t="str">
        <x:v>Metro Office Mart</x:v>
      </x:c>
      <x:c r="D11" s="48" t="str">
        <x:v>SKU-019</x:v>
      </x:c>
      <x:c r="E11" s="48" t="str">
        <x:v>Safety goggles</x:v>
      </x:c>
      <x:c r="F11" s="48" t="n">
        <x:v>20</x:v>
      </x:c>
      <x:c r="G11" s="48" t="n">
        <x:v>20</x:v>
      </x:c>
      <x:c r="H11" s="48" t="n">
        <x:f>MAX(0,F11-G11)</x:f>
        <x:v>0</x:v>
      </x:c>
      <x:c r="I11" s="48" t="str">
        <x:f>IF(H11=0,"Received",IF(G11=0,"Open","Part received"))</x:f>
        <x:v>Received</x:v>
      </x:c>
      <x:c r="J11" s="64" t="n">
        <x:v>46311</x:v>
      </x:c>
    </x:row>
    <x:row r="12">
      <x:c r="A12" s="48" t="str">
        <x:v>PO-2026-008</x:v>
      </x:c>
      <x:c r="B12" s="64" t="n">
        <x:v>46290</x:v>
      </x:c>
      <x:c r="C12" s="48" t="str">
        <x:v>PaperTrail Wholesale</x:v>
      </x:c>
      <x:c r="D12" s="48" t="str">
        <x:v>SKU-002</x:v>
      </x:c>
      <x:c r="E12" s="48" t="str">
        <x:v>Blue ballpoint pens box</x:v>
      </x:c>
      <x:c r="F12" s="48" t="n">
        <x:v>30</x:v>
      </x:c>
      <x:c r="G12" s="48" t="n">
        <x:v>0</x:v>
      </x:c>
      <x:c r="H12" s="48" t="n">
        <x:f>MAX(0,F12-G12)</x:f>
        <x:v>30</x:v>
      </x:c>
      <x:c r="I12" s="48" t="str">
        <x:f>IF(H12=0,"Received",IF(G12=0,"Open","Part received"))</x:f>
        <x:v>Open</x:v>
      </x:c>
      <x:c r="J12" s="64" t="n">
        <x:v>46312</x:v>
      </x:c>
    </x:row>
    <x:row r="13">
      <x:c r="A13" s="48" t="str">
        <x:v>PO-2026-009</x:v>
      </x:c>
      <x:c r="B13" s="64" t="n">
        <x:v>46288</x:v>
      </x:c>
      <x:c r="C13" s="48" t="str">
        <x:v>PackRight Supplies</x:v>
      </x:c>
      <x:c r="D13" s="48" t="str">
        <x:v>SKU-005</x:v>
      </x:c>
      <x:c r="E13" s="48" t="str">
        <x:v>Thermal labels roll</x:v>
      </x:c>
      <x:c r="F13" s="48" t="n">
        <x:v>12</x:v>
      </x:c>
      <x:c r="G13" s="48" t="n">
        <x:v>6</x:v>
      </x:c>
      <x:c r="H13" s="48" t="n">
        <x:f>MAX(0,F13-G13)</x:f>
        <x:v>6</x:v>
      </x:c>
      <x:c r="I13" s="48" t="str">
        <x:f>IF(H13=0,"Received",IF(G13=0,"Open","Part received"))</x:f>
        <x:v>Part received</x:v>
      </x:c>
      <x:c r="J13" s="64" t="n">
        <x:v>46313</x:v>
      </x:c>
    </x:row>
    <x:row r="14">
      <x:c r="A14" s="48" t="str">
        <x:v>PO-2026-010</x:v>
      </x:c>
      <x:c r="B14" s="64" t="n">
        <x:v>46286</x:v>
      </x:c>
      <x:c r="C14" s="48" t="str">
        <x:v>NorthStar Stationers</x:v>
      </x:c>
      <x:c r="D14" s="48" t="str">
        <x:v>SKU-008</x:v>
      </x:c>
      <x:c r="E14" s="48" t="str">
        <x:v>Packing tape carton</x:v>
      </x:c>
      <x:c r="F14" s="48" t="n">
        <x:v>25</x:v>
      </x:c>
      <x:c r="G14" s="48" t="n">
        <x:v>25</x:v>
      </x:c>
      <x:c r="H14" s="48" t="n">
        <x:f>MAX(0,F14-G14)</x:f>
        <x:v>0</x:v>
      </x:c>
      <x:c r="I14" s="48" t="str">
        <x:f>IF(H14=0,"Received",IF(G14=0,"Open","Part received"))</x:f>
        <x:v>Received</x:v>
      </x:c>
      <x:c r="J14" s="64" t="n">
        <x:v>46305</x:v>
      </x:c>
    </x:row>
    <x:row r="15">
      <x:c r="A15" s="48" t="str">
        <x:v>PO-2026-011</x:v>
      </x:c>
      <x:c r="B15" s="64" t="n">
        <x:v>46284</x:v>
      </x:c>
      <x:c r="C15" s="48" t="str">
        <x:v>BlueGate Safety</x:v>
      </x:c>
      <x:c r="D15" s="48" t="str">
        <x:v>SKU-011</x:v>
      </x:c>
      <x:c r="E15" s="48" t="str">
        <x:v>HDMI cable</x:v>
      </x:c>
      <x:c r="F15" s="48" t="n">
        <x:v>40</x:v>
      </x:c>
      <x:c r="G15" s="48" t="n">
        <x:v>0</x:v>
      </x:c>
      <x:c r="H15" s="48" t="n">
        <x:f>MAX(0,F15-G15)</x:f>
        <x:v>40</x:v>
      </x:c>
      <x:c r="I15" s="48" t="str">
        <x:f>IF(H15=0,"Received",IF(G15=0,"Open","Part received"))</x:f>
        <x:v>Open</x:v>
      </x:c>
      <x:c r="J15" s="64" t="n">
        <x:v>46306</x:v>
      </x:c>
    </x:row>
    <x:row r="16">
      <x:c r="A16" s="48" t="str">
        <x:v>PO-2026-012</x:v>
      </x:c>
      <x:c r="B16" s="64" t="n">
        <x:v>46282</x:v>
      </x:c>
      <x:c r="C16" s="48" t="str">
        <x:v>Cityline Industrial</x:v>
      </x:c>
      <x:c r="D16" s="48" t="str">
        <x:v>SKU-014</x:v>
      </x:c>
      <x:c r="E16" s="48" t="str">
        <x:v>Microfiber cloth pack</x:v>
      </x:c>
      <x:c r="F16" s="48" t="n">
        <x:v>15</x:v>
      </x:c>
      <x:c r="G16" s="48" t="n">
        <x:v>5</x:v>
      </x:c>
      <x:c r="H16" s="48" t="n">
        <x:f>MAX(0,F16-G16)</x:f>
        <x:v>10</x:v>
      </x:c>
      <x:c r="I16" s="48" t="str">
        <x:f>IF(H16=0,"Received",IF(G16=0,"Open","Part received"))</x:f>
        <x:v>Part received</x:v>
      </x:c>
      <x:c r="J16" s="64" t="n">
        <x:v>46307</x:v>
      </x:c>
    </x:row>
  </x:sheetData>
  <x:mergeCells>
    <x:mergeCell ref="A1:J1"/>
    <x:mergeCell ref="A2:J2"/>
  </x:mergeCells>
  <x:conditionalFormatting sqref="I5:I16">
    <x:cfRule type="expression" dxfId="2" priority="1">
      <x:formula>I5="Open"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39c3753e374ee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22" hidden="0" customWidth="1"/>
    <x:col min="4" max="4" width="19" hidden="0" customWidth="1"/>
    <x:col min="5" max="5" width="16" hidden="0" customWidth="1"/>
    <x:col min="6" max="6" width="25" hidden="0" customWidth="1"/>
    <x:col min="7" max="7" width="19" hidden="0" customWidth="1"/>
    <x:col min="8" max="8" width="42" hidden="0" customWidth="1"/>
  </x:cols>
  <x:sheetData>
    <x:row r="1" ht="32" customHeight="1">
      <x:c r="A1" s="5" t="str">
        <x:v>WEEKLY MIS REPORT</x:v>
      </x:c>
      <x:c r="B1" s="5"/>
      <x:c r="C1" s="5"/>
      <x:c r="D1" s="5"/>
      <x:c r="E1" s="5"/>
      <x:c r="F1" s="5"/>
      <x:c r="G1" s="5"/>
      <x:c r="H1" s="5"/>
    </x:row>
    <x:row r="2" ht="25" customHeight="1">
      <x:c r="A2" s="14" t="str">
        <x:v>Illustrative weekly snapshot. Refresh after the inventory and stock ledger are updated.</x:v>
      </x:c>
      <x:c r="B2" s="14"/>
      <x:c r="C2" s="14"/>
      <x:c r="D2" s="14"/>
      <x:c r="E2" s="14"/>
      <x:c r="F2" s="14"/>
      <x:c r="G2" s="14"/>
      <x:c r="H2" s="14"/>
    </x:row>
    <x:row r="4" ht="30" customHeight="1">
      <x:c r="A4" s="41" t="str">
        <x:v>Category</x:v>
      </x:c>
      <x:c r="B4" s="41" t="str">
        <x:v>SKU Count</x:v>
      </x:c>
      <x:c r="C4" s="41" t="str">
        <x:v>Current Stock Units</x:v>
      </x:c>
      <x:c r="D4" s="41" t="str">
        <x:v>Stock Value (₹)</x:v>
      </x:c>
      <x:c r="E4" s="41" t="str">
        <x:v>Reorder SKUs</x:v>
      </x:c>
      <x:c r="F4" s="41" t="str">
        <x:v>Units Issued This Period</x:v>
      </x:c>
      <x:c r="G4" s="41" t="str">
        <x:v>Reconciliation Status</x:v>
      </x:c>
      <x:c r="H4" s="41" t="str">
        <x:v>Manager Comment</x:v>
      </x:c>
    </x:row>
    <x:row r="5">
      <x:c r="A5" s="48" t="str">
        <x:v>Stationery</x:v>
      </x:c>
      <x:c r="B5" s="48" t="n">
        <x:f>COUNTIF(Inventory!$C$5:$C$24,A5)</x:f>
        <x:v>4</x:v>
      </x:c>
      <x:c r="C5" s="48" t="n">
        <x:f>SUMIF(Inventory!$C$5:$C$24,A5,Inventory!$H$5:$H$24)</x:f>
        <x:v>94</x:v>
      </x:c>
      <x:c r="D5" s="52" t="n">
        <x:f>SUMIF(Inventory!$C$5:$C$24,A5,Inventory!$I$5:$I$24)</x:f>
        <x:v>58300</x:v>
      </x:c>
      <x:c r="E5" s="48" t="n">
        <x:f>COUNTIFS(Inventory!$C$5:$C$24,A5,Inventory!$J$5:$J$24,"REORDER")</x:f>
        <x:v>0</x:v>
      </x:c>
      <x:c r="F5" s="48" t="n">
        <x:f>ABS(SUMIFS('Stock Ledger'!$F$5:$F$44,'Stock Ledger'!$E$5:$E$44,"Issue",'Stock Ledger'!$I$5:$I$44,A5))</x:f>
        <x:v>54</x:v>
      </x:c>
      <x:c r="G5" s="48" t="str">
        <x:v>Review pending</x:v>
      </x:c>
      <x:c r="H5" s="48" t="str">
        <x:v>Review high-volume consumables.</x:v>
      </x:c>
    </x:row>
    <x:row r="6">
      <x:c r="A6" s="48" t="str">
        <x:v>Packaging</x:v>
      </x:c>
      <x:c r="B6" s="48" t="n">
        <x:f>COUNTIF(Inventory!$C$5:$C$24,A6)</x:f>
        <x:v>4</x:v>
      </x:c>
      <x:c r="C6" s="48" t="n">
        <x:f>SUMIF(Inventory!$C$5:$C$24,A6,Inventory!$H$5:$H$24)</x:f>
        <x:v>124</x:v>
      </x:c>
      <x:c r="D6" s="52" t="n">
        <x:f>SUMIF(Inventory!$C$5:$C$24,A6,Inventory!$I$5:$I$24)</x:f>
        <x:v>23850</x:v>
      </x:c>
      <x:c r="E6" s="48" t="n">
        <x:f>COUNTIFS(Inventory!$C$5:$C$24,A6,Inventory!$J$5:$J$24,"REORDER")</x:f>
        <x:v>1</x:v>
      </x:c>
      <x:c r="F6" s="48" t="n">
        <x:f>ABS(SUMIFS('Stock Ledger'!$F$5:$F$44,'Stock Ledger'!$E$5:$E$44,"Issue",'Stock Ledger'!$I$5:$I$44,A6))</x:f>
        <x:v>67</x:v>
      </x:c>
      <x:c r="G6" s="48" t="str">
        <x:v>Review pending</x:v>
      </x:c>
      <x:c r="H6" s="48" t="str">
        <x:v>Reconcile carton and tape consumption.</x:v>
      </x:c>
    </x:row>
    <x:row r="7">
      <x:c r="A7" s="48" t="str">
        <x:v>Office Electronics</x:v>
      </x:c>
      <x:c r="B7" s="48" t="n">
        <x:f>COUNTIF(Inventory!$C$5:$C$24,A7)</x:f>
        <x:v>4</x:v>
      </x:c>
      <x:c r="C7" s="48" t="n">
        <x:f>SUMIF(Inventory!$C$5:$C$24,A7,Inventory!$H$5:$H$24)</x:f>
        <x:v>30</x:v>
      </x:c>
      <x:c r="D7" s="52" t="n">
        <x:f>SUMIF(Inventory!$C$5:$C$24,A7,Inventory!$I$5:$I$24)</x:f>
        <x:v>15830</x:v>
      </x:c>
      <x:c r="E7" s="48" t="n">
        <x:f>COUNTIFS(Inventory!$C$5:$C$24,A7,Inventory!$J$5:$J$24,"REORDER")</x:f>
        <x:v>1</x:v>
      </x:c>
      <x:c r="F7" s="48" t="n">
        <x:f>ABS(SUMIFS('Stock Ledger'!$F$5:$F$44,'Stock Ledger'!$E$5:$E$44,"Issue",'Stock Ledger'!$I$5:$I$44,A7))</x:f>
        <x:v>32</x:v>
      </x:c>
      <x:c r="G7" s="48" t="str">
        <x:v>Review pending</x:v>
      </x:c>
      <x:c r="H7" s="48" t="str">
        <x:v>Check compatibility before purchase.</x:v>
      </x:c>
    </x:row>
    <x:row r="8">
      <x:c r="A8" s="48" t="str">
        <x:v>Cleaning</x:v>
      </x:c>
      <x:c r="B8" s="48" t="n">
        <x:f>COUNTIF(Inventory!$C$5:$C$24,A8)</x:f>
        <x:v>4</x:v>
      </x:c>
      <x:c r="C8" s="48" t="n">
        <x:f>SUMIF(Inventory!$C$5:$C$24,A8,Inventory!$H$5:$H$24)</x:f>
        <x:v>29</x:v>
      </x:c>
      <x:c r="D8" s="52" t="n">
        <x:f>SUMIF(Inventory!$C$5:$C$24,A8,Inventory!$I$5:$I$24)</x:f>
        <x:v>8390</x:v>
      </x:c>
      <x:c r="E8" s="48" t="n">
        <x:f>COUNTIFS(Inventory!$C$5:$C$24,A8,Inventory!$J$5:$J$24,"REORDER")</x:f>
        <x:v>2</x:v>
      </x:c>
      <x:c r="F8" s="48" t="n">
        <x:f>ABS(SUMIFS('Stock Ledger'!$F$5:$F$44,'Stock Ledger'!$E$5:$E$44,"Issue",'Stock Ledger'!$I$5:$I$44,A8))</x:f>
        <x:v>46</x:v>
      </x:c>
      <x:c r="G8" s="48" t="str">
        <x:v>Review pending</x:v>
      </x:c>
      <x:c r="H8" s="48" t="str">
        <x:v>Monitor refill and expiry dates.</x:v>
      </x:c>
    </x:row>
    <x:row r="9">
      <x:c r="A9" s="48" t="str">
        <x:v>Safety &amp; PPE</x:v>
      </x:c>
      <x:c r="B9" s="48" t="n">
        <x:f>COUNTIF(Inventory!$C$5:$C$24,A9)</x:f>
        <x:v>4</x:v>
      </x:c>
      <x:c r="C9" s="48" t="n">
        <x:f>SUMIF(Inventory!$C$5:$C$24,A9,Inventory!$H$5:$H$24)</x:f>
        <x:v>21</x:v>
      </x:c>
      <x:c r="D9" s="52" t="n">
        <x:f>SUMIF(Inventory!$C$5:$C$24,A9,Inventory!$I$5:$I$24)</x:f>
        <x:v>8230</x:v>
      </x:c>
      <x:c r="E9" s="48" t="n">
        <x:f>COUNTIFS(Inventory!$C$5:$C$24,A9,Inventory!$J$5:$J$24,"REORDER")</x:f>
        <x:v>3</x:v>
      </x:c>
      <x:c r="F9" s="48" t="n">
        <x:f>ABS(SUMIFS('Stock Ledger'!$F$5:$F$44,'Stock Ledger'!$E$5:$E$44,"Issue",'Stock Ledger'!$I$5:$I$44,A9))</x:f>
        <x:v>40</x:v>
      </x:c>
      <x:c r="G9" s="48" t="str">
        <x:v>Review pending</x:v>
      </x:c>
      <x:c r="H9" s="48" t="str">
        <x:v>Prioritise required protective supplies.</x:v>
      </x:c>
    </x:row>
    <x:row r="11">
      <x:c r="A11" s="57" t="str">
        <x:v>Weekly control checklist: reconcile physical counts; investigate negative adjustments; confirm open purchase orders; document stockout risks; log approvals; archive the report with the week-ending date.</x:v>
      </x:c>
      <x:c r="B11" s="57"/>
      <x:c r="C11" s="57"/>
      <x:c r="D11" s="57"/>
      <x:c r="E11" s="57"/>
      <x:c r="F11" s="57"/>
      <x:c r="G11" s="57"/>
      <x:c r="H11" s="57"/>
    </x:row>
    <x:row r="12">
      <x:c r="A12" s="57"/>
      <x:c r="B12" s="57"/>
      <x:c r="C12" s="57"/>
      <x:c r="D12" s="57"/>
      <x:c r="E12" s="57"/>
      <x:c r="F12" s="57"/>
      <x:c r="G12" s="57"/>
      <x:c r="H12" s="57"/>
    </x:row>
  </x:sheetData>
  <x:mergeCells>
    <x:mergeCell ref="A1:H1"/>
    <x:mergeCell ref="A2:H2"/>
    <x:mergeCell ref="A11:H12"/>
  </x:mergeCells>
  <x:dataValidations count="1">
    <x:dataValidation type="list" sqref="G5:G9">
      <x:formula1>"Reconciled,Variance found,Review pending"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12" hidden="0" customWidth="1"/>
    <x:col min="4" max="4" width="80" hidden="0" customWidth="1"/>
    <x:col min="5" max="5" width="35" hidden="0" customWidth="1"/>
  </x:cols>
  <x:sheetData>
    <x:row r="1" ht="32" customHeight="1">
      <x:c r="A1" s="5" t="str">
        <x:v>STANDARD OPERATING PROCEDURES</x:v>
      </x:c>
      <x:c r="B1" s="5"/>
      <x:c r="C1" s="5"/>
      <x:c r="D1" s="5"/>
      <x:c r="E1" s="5"/>
    </x:row>
    <x:row r="2" ht="25" customHeight="1">
      <x:c r="A2" s="14" t="str">
        <x:v>Three concise practice SOPs. Adapt them to actual approved controls before use in an organisation.</x:v>
      </x:c>
      <x:c r="B2" s="14"/>
      <x:c r="C2" s="14"/>
      <x:c r="D2" s="14"/>
      <x:c r="E2" s="14"/>
    </x:row>
    <x:row r="4" ht="30" customHeight="1">
      <x:c r="A4" s="41" t="str">
        <x:v>SOP ID</x:v>
      </x:c>
      <x:c r="B4" s="41" t="str">
        <x:v>Process</x:v>
      </x:c>
      <x:c r="C4" s="41" t="str">
        <x:v>Step</x:v>
      </x:c>
      <x:c r="D4" s="41" t="str">
        <x:v>Action / Control</x:v>
      </x:c>
      <x:c r="E4" s="41" t="str">
        <x:v>Evidence to Retain</x:v>
      </x:c>
    </x:row>
    <x:row r="5">
      <x:c r="A5" s="48" t="str">
        <x:v>SOP-01</x:v>
      </x:c>
      <x:c r="B5" s="48" t="str">
        <x:v>Goods receiving</x:v>
      </x:c>
      <x:c r="C5" s="48" t="str">
        <x:v>1</x:v>
      </x:c>
      <x:c r="D5" s="48" t="str">
        <x:v>Match delivery note to approved purchase order: supplier, SKU, quantity and condition.</x:v>
      </x:c>
      <x:c r="E5" s="48" t="str">
        <x:v>PO copy + delivery note</x:v>
      </x:c>
    </x:row>
    <x:row r="6">
      <x:c r="A6" s="48" t="str">
        <x:v>SOP-01</x:v>
      </x:c>
      <x:c r="B6" s="48" t="str">
        <x:v>Goods receiving</x:v>
      </x:c>
      <x:c r="C6" s="48" t="str">
        <x:v>2</x:v>
      </x:c>
      <x:c r="D6" s="48" t="str">
        <x:v>Count physical items; record shortages, damage or substitutions before acceptance.</x:v>
      </x:c>
      <x:c r="E6" s="48" t="str">
        <x:v>Signed count / damage note</x:v>
      </x:c>
    </x:row>
    <x:row r="7">
      <x:c r="A7" s="48" t="str">
        <x:v>SOP-01</x:v>
      </x:c>
      <x:c r="B7" s="48" t="str">
        <x:v>Goods receiving</x:v>
      </x:c>
      <x:c r="C7" s="48" t="str">
        <x:v>3</x:v>
      </x:c>
      <x:c r="D7" s="48" t="str">
        <x:v>Enter receipt in Stock Ledger with reference and recorder; do not overwrite the original order.</x:v>
      </x:c>
      <x:c r="E7" s="48" t="str">
        <x:v>Ledger row + document reference</x:v>
      </x:c>
    </x:row>
    <x:row r="8">
      <x:c r="A8" s="48" t="str">
        <x:v>SOP-01</x:v>
      </x:c>
      <x:c r="B8" s="48" t="str">
        <x:v>Goods receiving</x:v>
      </x:c>
      <x:c r="C8" s="48" t="str">
        <x:v>4</x:v>
      </x:c>
      <x:c r="D8" s="48" t="str">
        <x:v>Update PO received quantity and inform the approver of any variance.</x:v>
      </x:c>
      <x:c r="E8" s="48" t="str">
        <x:v>Updated PO + variance approval</x:v>
      </x:c>
    </x:row>
    <x:row r="9">
      <x:c r="A9" s="48" t="str">
        <x:v>SOP-02</x:v>
      </x:c>
      <x:c r="B9" s="48" t="str">
        <x:v>Stock issue / dispatch</x:v>
      </x:c>
      <x:c r="C9" s="48" t="str">
        <x:v>1</x:v>
      </x:c>
      <x:c r="D9" s="48" t="str">
        <x:v>Confirm valid request or issue authorisation before stock leaves storage.</x:v>
      </x:c>
      <x:c r="E9" s="48" t="str">
        <x:v>Approved request</x:v>
      </x:c>
    </x:row>
    <x:row r="10">
      <x:c r="A10" s="48" t="str">
        <x:v>SOP-02</x:v>
      </x:c>
      <x:c r="B10" s="48" t="str">
        <x:v>Stock issue / dispatch</x:v>
      </x:c>
      <x:c r="C10" s="48" t="str">
        <x:v>2</x:v>
      </x:c>
      <x:c r="D10" s="48" t="str">
        <x:v>Pick the SKU and verify unit, quantity and recipient/order reference.</x:v>
      </x:c>
      <x:c r="E10" s="48" t="str">
        <x:v>Pick/check record</x:v>
      </x:c>
    </x:row>
    <x:row r="11">
      <x:c r="A11" s="48" t="str">
        <x:v>SOP-02</x:v>
      </x:c>
      <x:c r="B11" s="48" t="str">
        <x:v>Stock issue / dispatch</x:v>
      </x:c>
      <x:c r="C11" s="48" t="str">
        <x:v>3</x:v>
      </x:c>
      <x:c r="D11" s="48" t="str">
        <x:v>Record the issue as a negative quantity in Stock Ledger; retain the source reference.</x:v>
      </x:c>
      <x:c r="E11" s="48" t="str">
        <x:v>Ledger row + dispatch note</x:v>
      </x:c>
    </x:row>
    <x:row r="12">
      <x:c r="A12" s="48" t="str">
        <x:v>SOP-02</x:v>
      </x:c>
      <x:c r="B12" s="48" t="str">
        <x:v>Stock issue / dispatch</x:v>
      </x:c>
      <x:c r="C12" s="48" t="str">
        <x:v>4</x:v>
      </x:c>
      <x:c r="D12" s="48" t="str">
        <x:v>If stock would go negative, stop and reconcile before recording the movement.</x:v>
      </x:c>
      <x:c r="E12" s="48" t="str">
        <x:v>Exception log</x:v>
      </x:c>
    </x:row>
    <x:row r="13">
      <x:c r="A13" s="48" t="str">
        <x:v>SOP-03</x:v>
      </x:c>
      <x:c r="B13" s="48" t="str">
        <x:v>Daily records verification</x:v>
      </x:c>
      <x:c r="C13" s="48" t="str">
        <x:v>1</x:v>
      </x:c>
      <x:c r="D13" s="48" t="str">
        <x:v>Review missing references, duplicate IDs, blank SKUs and unusual quantities.</x:v>
      </x:c>
      <x:c r="E13" s="48" t="str">
        <x:v>Daily validation checklist</x:v>
      </x:c>
    </x:row>
    <x:row r="14">
      <x:c r="A14" s="48" t="str">
        <x:v>SOP-03</x:v>
      </x:c>
      <x:c r="B14" s="48" t="str">
        <x:v>Daily records verification</x:v>
      </x:c>
      <x:c r="C14" s="48" t="str">
        <x:v>2</x:v>
      </x:c>
      <x:c r="D14" s="48" t="str">
        <x:v>Compare ledger balance to physical spot counts for selected high-risk items.</x:v>
      </x:c>
      <x:c r="E14" s="48" t="str">
        <x:v>Count sheet</x:v>
      </x:c>
    </x:row>
    <x:row r="15">
      <x:c r="A15" s="48" t="str">
        <x:v>SOP-03</x:v>
      </x:c>
      <x:c r="B15" s="48" t="str">
        <x:v>Daily records verification</x:v>
      </x:c>
      <x:c r="C15" s="48" t="str">
        <x:v>3</x:v>
      </x:c>
      <x:c r="D15" s="48" t="str">
        <x:v>Investigate differences; document correction reason and obtain approval where required.</x:v>
      </x:c>
      <x:c r="E15" s="48" t="str">
        <x:v>Variance log + approval</x:v>
      </x:c>
    </x:row>
    <x:row r="16">
      <x:c r="A16" s="48" t="str">
        <x:v>SOP-03</x:v>
      </x:c>
      <x:c r="B16" s="48" t="str">
        <x:v>Daily records verification</x:v>
      </x:c>
      <x:c r="C16" s="48" t="str">
        <x:v>4</x:v>
      </x:c>
      <x:c r="D16" s="48" t="str">
        <x:v>Review reorder alerts and open POs; share the weekly MIS with the authorised manager.</x:v>
      </x:c>
      <x:c r="E16" s="48" t="str">
        <x:v>MIS file + distribution record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5" hidden="0" customWidth="1"/>
    <x:col min="4" max="4" width="82" hidden="0" customWidth="1"/>
  </x:cols>
  <x:sheetData>
    <x:row r="1" ht="32" customHeight="1">
      <x:c r="A1" s="5" t="str">
        <x:v>HOW TO USE THE OPERATIONS WORKBOOK</x:v>
      </x:c>
      <x:c r="B1" s="5"/>
      <x:c r="C1" s="5"/>
      <x:c r="D1" s="5"/>
    </x:row>
    <x:row r="2" ht="25" customHeight="1">
      <x:c r="A2" s="14" t="str">
        <x:v>Synthetic stock and PO data for practice. Reconcile real inventory before using operationally.</x:v>
      </x:c>
      <x:c r="B2" s="14"/>
      <x:c r="C2" s="14"/>
      <x:c r="D2" s="14"/>
    </x:row>
    <x:row r="4" ht="30" customHeight="1">
      <x:c r="A4" s="41" t="str">
        <x:v>Step</x:v>
      </x:c>
      <x:c r="B4" s="41" t="str">
        <x:v>Action</x:v>
      </x:c>
      <x:c r="C4" s="41" t="str">
        <x:v>Sheet</x:v>
      </x:c>
      <x:c r="D4" s="41" t="str">
        <x:v>Notes</x:v>
      </x:c>
    </x:row>
    <x:row r="5">
      <x:c r="A5" s="48" t="str">
        <x:v>1</x:v>
      </x:c>
      <x:c r="B5" s="48" t="str">
        <x:v>Review inventory KPIs</x:v>
      </x:c>
      <x:c r="C5" s="48" t="str">
        <x:v>Dashboard</x:v>
      </x:c>
      <x:c r="D5" s="48" t="str">
        <x:v>Dashboard references Inventory and Purchase Orders.</x:v>
      </x:c>
    </x:row>
    <x:row r="6">
      <x:c r="A6" s="48" t="str">
        <x:v>2</x:v>
      </x:c>
      <x:c r="B6" s="48" t="str">
        <x:v>Add a stock movement</x:v>
      </x:c>
      <x:c r="C6" s="48" t="str">
        <x:v>Stock Ledger</x:v>
      </x:c>
      <x:c r="D6" s="48" t="str">
        <x:v>Receipts are positive; issues are negative. Do not delete past movements to hide errors.</x:v>
      </x:c>
    </x:row>
    <x:row r="7">
      <x:c r="A7" s="48" t="str">
        <x:v>3</x:v>
      </x:c>
      <x:c r="B7" s="48" t="str">
        <x:v>Check current stock and reorder flag</x:v>
      </x:c>
      <x:c r="C7" s="48" t="str">
        <x:v>Inventory</x:v>
      </x:c>
      <x:c r="D7" s="48" t="str">
        <x:v>Current stock is calculated from opening stock plus the ledger.</x:v>
      </x:c>
    </x:row>
    <x:row r="8">
      <x:c r="A8" s="48" t="str">
        <x:v>4</x:v>
      </x:c>
      <x:c r="B8" s="48" t="str">
        <x:v>Record a purchase order and receipts</x:v>
      </x:c>
      <x:c r="C8" s="48" t="str">
        <x:v>Purchase Orders</x:v>
      </x:c>
      <x:c r="D8" s="48" t="str">
        <x:v>Outstanding quantity and status are formula-driven.</x:v>
      </x:c>
    </x:row>
    <x:row r="9">
      <x:c r="A9" s="48" t="str">
        <x:v>5</x:v>
      </x:c>
      <x:c r="B9" s="48" t="str">
        <x:v>Review weekly summary</x:v>
      </x:c>
      <x:c r="C9" s="48" t="str">
        <x:v>Weekly MIS</x:v>
      </x:c>
      <x:c r="D9" s="48" t="str">
        <x:v>Issued quantities are calculated by category from negative movements marked Issue; reconcile before sharing.</x:v>
      </x:c>
    </x:row>
    <x:row r="10">
      <x:c r="A10" s="48" t="str">
        <x:v>6</x:v>
      </x:c>
      <x:c r="B10" s="48" t="str">
        <x:v>Follow operating controls</x:v>
      </x:c>
      <x:c r="C10" s="48" t="str">
        <x:v>SOPs</x:v>
      </x:c>
      <x:c r="D10" s="48" t="str">
        <x:v>The SOPs are illustrative and must be aligned to the employer's policy.</x:v>
      </x:c>
    </x:row>
  </x:sheetData>
  <x:mergeCells>
    <x:mergeCell ref="A1:D1"/>
    <x:mergeCell ref="A2:D2"/>
  </x:mergeCells>
  <x:pageMargins left="0.7" right="0.7" top="0.75" bottom="0.75" header="0.3" footer="0.3"/>
</x:worksheet>
</file>