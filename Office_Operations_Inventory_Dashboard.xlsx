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Inventory Register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F4E78"/>
    </font>
    <font>
      <b val="1"/>
      <color rgb="00FFFFFF"/>
    </font>
    <font>
      <b val="1"/>
      <color rgb="00FFFFFF"/>
      <sz val="17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SKUs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'Summary'!$A$2:$A$5</f>
            </numRef>
          </cat>
          <val>
            <numRef>
              <f>'Summary'!$B$2:$B$5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Group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tailRecords" displayName="DetailRecords" ref="A1:J16" headerRowCount="1">
  <autoFilter ref="A1:J16"/>
  <tableColumns count="10">
    <tableColumn id="1" name="SKU"/>
    <tableColumn id="2" name="Item"/>
    <tableColumn id="3" name="Category"/>
    <tableColumn id="4" name="Supplier"/>
    <tableColumn id="5" name="Unit Cost (₹)"/>
    <tableColumn id="6" name="Current Stock"/>
    <tableColumn id="7" name="Reorder Level"/>
    <tableColumn id="8" name="Reorder Flag"/>
    <tableColumn id="9" name="Stock Value (₹)"/>
    <tableColumn id="10" name="Locati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Office Operations &amp; Inventory Management Dashboard</t>
        </is>
      </c>
    </row>
    <row r="3">
      <c r="A3" s="2" t="inlineStr">
        <is>
          <t>Purpose</t>
        </is>
      </c>
      <c r="B3" s="3" t="inlineStr">
        <is>
          <t>Portfolio demonstration workbook with fictional sample records.</t>
        </is>
      </c>
    </row>
    <row r="4">
      <c r="A4" s="2" t="inlineStr">
        <is>
          <t>How to use</t>
        </is>
      </c>
      <c r="B4" s="3" t="inlineStr">
        <is>
          <t>Review Dashboard, then the detailed register/tracker and summary sheets. Formulas recalculate in Excel.</t>
        </is>
      </c>
    </row>
    <row r="5">
      <c r="A5" s="2" t="inlineStr">
        <is>
          <t>Data note</t>
        </is>
      </c>
      <c r="B5" s="3" t="inlineStr">
        <is>
          <t>All names, ticket/item records, values, and dates are synthetic examples, not real business results.</t>
        </is>
      </c>
    </row>
    <row r="6">
      <c r="A6" s="2" t="inlineStr">
        <is>
          <t>Integration note</t>
        </is>
      </c>
      <c r="B6" s="3" t="inlineStr">
        <is>
          <t>No live CRM, helpdesk, form, purchasing, or inventory integration is implemented.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65" customWidth="1" min="3" max="3"/>
  </cols>
  <sheetData>
    <row r="1">
      <c r="A1" s="4" t="inlineStr">
        <is>
          <t>OFFICE OPERATIONS &amp; INVENTORY MANAGEMENT DASHBOARD DASHBOARD</t>
        </is>
      </c>
    </row>
    <row r="2">
      <c r="A2" s="5" t="inlineStr">
        <is>
          <t>Metric</t>
        </is>
      </c>
      <c r="B2" s="5" t="inlineStr">
        <is>
          <t>Value</t>
        </is>
      </c>
      <c r="C2" s="5" t="inlineStr">
        <is>
          <t>What it tells you</t>
        </is>
      </c>
    </row>
    <row r="3">
      <c r="A3" t="inlineStr">
        <is>
          <t>Inventory SKUs</t>
        </is>
      </c>
      <c r="B3" s="6">
        <f>COUNTA('Inventory Register'!A2:A1000)</f>
        <v/>
      </c>
      <c r="C3" s="7" t="inlineStr">
        <is>
          <t>Number of stock items</t>
        </is>
      </c>
    </row>
    <row r="4">
      <c r="A4" t="inlineStr">
        <is>
          <t>Items to reorder</t>
        </is>
      </c>
      <c r="B4" s="6">
        <f>COUNTIF('Inventory Register'!H2:H1000,"REORDER")</f>
        <v/>
      </c>
      <c r="C4" s="7" t="inlineStr">
        <is>
          <t>Items at or below reorder level</t>
        </is>
      </c>
    </row>
    <row r="5">
      <c r="A5" t="inlineStr">
        <is>
          <t>Total units in stock</t>
        </is>
      </c>
      <c r="B5" s="6">
        <f>SUM('Inventory Register'!F2:F1000)</f>
        <v/>
      </c>
      <c r="C5" s="7" t="inlineStr">
        <is>
          <t>Units/packs recorded</t>
        </is>
      </c>
    </row>
    <row r="6">
      <c r="A6" t="inlineStr">
        <is>
          <t>Estimated stock value</t>
        </is>
      </c>
      <c r="B6" s="6">
        <f>SUM('Inventory Register'!I2:I1000)</f>
        <v/>
      </c>
      <c r="C6" s="7" t="inlineStr">
        <is>
          <t>Value at recorded unit cost</t>
        </is>
      </c>
    </row>
    <row r="7">
      <c r="A7" t="inlineStr">
        <is>
          <t>IT supply SKUs</t>
        </is>
      </c>
      <c r="B7" s="6">
        <f>COUNTIF('Inventory Register'!C2:C1000,"IT Supplies")</f>
        <v/>
      </c>
      <c r="C7" s="7" t="inlineStr">
        <is>
          <t>Items in IT category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8" customWidth="1" min="9" max="9"/>
    <col width="18" customWidth="1" min="10" max="10"/>
  </cols>
  <sheetData>
    <row r="1" ht="30" customHeight="1">
      <c r="A1" s="8" t="inlineStr">
        <is>
          <t>SKU</t>
        </is>
      </c>
      <c r="B1" s="8" t="inlineStr">
        <is>
          <t>Item</t>
        </is>
      </c>
      <c r="C1" s="8" t="inlineStr">
        <is>
          <t>Category</t>
        </is>
      </c>
      <c r="D1" s="8" t="inlineStr">
        <is>
          <t>Supplier</t>
        </is>
      </c>
      <c r="E1" s="8" t="inlineStr">
        <is>
          <t>Unit Cost (₹)</t>
        </is>
      </c>
      <c r="F1" s="8" t="inlineStr">
        <is>
          <t>Current Stock</t>
        </is>
      </c>
      <c r="G1" s="8" t="inlineStr">
        <is>
          <t>Reorder Level</t>
        </is>
      </c>
      <c r="H1" s="8" t="inlineStr">
        <is>
          <t>Reorder Flag</t>
        </is>
      </c>
      <c r="I1" s="8" t="inlineStr">
        <is>
          <t>Stock Value (₹)</t>
        </is>
      </c>
      <c r="J1" s="8" t="inlineStr">
        <is>
          <t>Location</t>
        </is>
      </c>
    </row>
    <row r="2">
      <c r="A2" s="3" t="inlineStr">
        <is>
          <t>OFF-001</t>
        </is>
      </c>
      <c r="B2" s="3" t="inlineStr">
        <is>
          <t>A4 Paper Ream</t>
        </is>
      </c>
      <c r="C2" s="3" t="inlineStr">
        <is>
          <t>Stationery</t>
        </is>
      </c>
      <c r="D2" s="3" t="inlineStr">
        <is>
          <t>PaperPoint</t>
        </is>
      </c>
      <c r="E2" s="9" t="n">
        <v>245</v>
      </c>
      <c r="F2" s="3" t="n">
        <v>18</v>
      </c>
      <c r="G2" s="3" t="n">
        <v>10</v>
      </c>
      <c r="H2" s="3">
        <f>IF(F2&lt;=G2,"REORDER","OK")</f>
        <v/>
      </c>
      <c r="I2" s="9">
        <f>E2*F2</f>
        <v/>
      </c>
      <c r="J2" s="3" t="inlineStr">
        <is>
          <t>Shelf A1</t>
        </is>
      </c>
    </row>
    <row r="3">
      <c r="A3" s="3" t="inlineStr">
        <is>
          <t>OFF-002</t>
        </is>
      </c>
      <c r="B3" s="3" t="inlineStr">
        <is>
          <t>Blue Ball Pens (Pack)</t>
        </is>
      </c>
      <c r="C3" s="3" t="inlineStr">
        <is>
          <t>Stationery</t>
        </is>
      </c>
      <c r="D3" s="3" t="inlineStr">
        <is>
          <t>WriteWell</t>
        </is>
      </c>
      <c r="E3" s="9" t="n">
        <v>120</v>
      </c>
      <c r="F3" s="3" t="n">
        <v>7</v>
      </c>
      <c r="G3" s="3" t="n">
        <v>8</v>
      </c>
      <c r="H3" s="3">
        <f>IF(F3&lt;=G3,"REORDER","OK")</f>
        <v/>
      </c>
      <c r="I3" s="9">
        <f>E3*F3</f>
        <v/>
      </c>
      <c r="J3" s="3" t="inlineStr">
        <is>
          <t>Shelf A2</t>
        </is>
      </c>
    </row>
    <row r="4">
      <c r="A4" s="3" t="inlineStr">
        <is>
          <t>OFF-003</t>
        </is>
      </c>
      <c r="B4" s="3" t="inlineStr">
        <is>
          <t>Sticky Notes Pack</t>
        </is>
      </c>
      <c r="C4" s="3" t="inlineStr">
        <is>
          <t>Stationery</t>
        </is>
      </c>
      <c r="D4" s="3" t="inlineStr">
        <is>
          <t>WriteWell</t>
        </is>
      </c>
      <c r="E4" s="9" t="n">
        <v>65</v>
      </c>
      <c r="F4" s="3" t="n">
        <v>14</v>
      </c>
      <c r="G4" s="3" t="n">
        <v>6</v>
      </c>
      <c r="H4" s="3">
        <f>IF(F4&lt;=G4,"REORDER","OK")</f>
        <v/>
      </c>
      <c r="I4" s="9">
        <f>E4*F4</f>
        <v/>
      </c>
      <c r="J4" s="3" t="inlineStr">
        <is>
          <t>Shelf A2</t>
        </is>
      </c>
    </row>
    <row r="5">
      <c r="A5" s="3" t="inlineStr">
        <is>
          <t>OFF-004</t>
        </is>
      </c>
      <c r="B5" s="3" t="inlineStr">
        <is>
          <t>Whiteboard Marker Set</t>
        </is>
      </c>
      <c r="C5" s="3" t="inlineStr">
        <is>
          <t>Stationery</t>
        </is>
      </c>
      <c r="D5" s="3" t="inlineStr">
        <is>
          <t>OfficeMart</t>
        </is>
      </c>
      <c r="E5" s="9" t="n">
        <v>180</v>
      </c>
      <c r="F5" s="3" t="n">
        <v>4</v>
      </c>
      <c r="G5" s="3" t="n">
        <v>5</v>
      </c>
      <c r="H5" s="3">
        <f>IF(F5&lt;=G5,"REORDER","OK")</f>
        <v/>
      </c>
      <c r="I5" s="9">
        <f>E5*F5</f>
        <v/>
      </c>
      <c r="J5" s="3" t="inlineStr">
        <is>
          <t>Shelf A3</t>
        </is>
      </c>
    </row>
    <row r="6">
      <c r="A6" s="3" t="inlineStr">
        <is>
          <t>OFF-005</t>
        </is>
      </c>
      <c r="B6" s="3" t="inlineStr">
        <is>
          <t>Printer Toner</t>
        </is>
      </c>
      <c r="C6" s="3" t="inlineStr">
        <is>
          <t>IT Supplies</t>
        </is>
      </c>
      <c r="D6" s="3" t="inlineStr">
        <is>
          <t>PrintCare</t>
        </is>
      </c>
      <c r="E6" s="9" t="n">
        <v>1850</v>
      </c>
      <c r="F6" s="3" t="n">
        <v>3</v>
      </c>
      <c r="G6" s="3" t="n">
        <v>2</v>
      </c>
      <c r="H6" s="3">
        <f>IF(F6&lt;=G6,"REORDER","OK")</f>
        <v/>
      </c>
      <c r="I6" s="9">
        <f>E6*F6</f>
        <v/>
      </c>
      <c r="J6" s="3" t="inlineStr">
        <is>
          <t>Cabinet B1</t>
        </is>
      </c>
    </row>
    <row r="7">
      <c r="A7" s="3" t="inlineStr">
        <is>
          <t>OFF-006</t>
        </is>
      </c>
      <c r="B7" s="3" t="inlineStr">
        <is>
          <t>USB Keyboard</t>
        </is>
      </c>
      <c r="C7" s="3" t="inlineStr">
        <is>
          <t>IT Supplies</t>
        </is>
      </c>
      <c r="D7" s="3" t="inlineStr">
        <is>
          <t>TechDesk</t>
        </is>
      </c>
      <c r="E7" s="9" t="n">
        <v>550</v>
      </c>
      <c r="F7" s="3" t="n">
        <v>5</v>
      </c>
      <c r="G7" s="3" t="n">
        <v>3</v>
      </c>
      <c r="H7" s="3">
        <f>IF(F7&lt;=G7,"REORDER","OK")</f>
        <v/>
      </c>
      <c r="I7" s="9">
        <f>E7*F7</f>
        <v/>
      </c>
      <c r="J7" s="3" t="inlineStr">
        <is>
          <t>Cabinet B2</t>
        </is>
      </c>
    </row>
    <row r="8">
      <c r="A8" s="3" t="inlineStr">
        <is>
          <t>OFF-007</t>
        </is>
      </c>
      <c r="B8" s="3" t="inlineStr">
        <is>
          <t>Wireless Mouse</t>
        </is>
      </c>
      <c r="C8" s="3" t="inlineStr">
        <is>
          <t>IT Supplies</t>
        </is>
      </c>
      <c r="D8" s="3" t="inlineStr">
        <is>
          <t>TechDesk</t>
        </is>
      </c>
      <c r="E8" s="9" t="n">
        <v>420</v>
      </c>
      <c r="F8" s="3" t="n">
        <v>2</v>
      </c>
      <c r="G8" s="3" t="n">
        <v>4</v>
      </c>
      <c r="H8" s="3">
        <f>IF(F8&lt;=G8,"REORDER","OK")</f>
        <v/>
      </c>
      <c r="I8" s="9">
        <f>E8*F8</f>
        <v/>
      </c>
      <c r="J8" s="3" t="inlineStr">
        <is>
          <t>Cabinet B2</t>
        </is>
      </c>
    </row>
    <row r="9">
      <c r="A9" s="3" t="inlineStr">
        <is>
          <t>OFF-008</t>
        </is>
      </c>
      <c r="B9" s="3" t="inlineStr">
        <is>
          <t>Cleaning Liquid (5L)</t>
        </is>
      </c>
      <c r="C9" s="3" t="inlineStr">
        <is>
          <t>Facilities</t>
        </is>
      </c>
      <c r="D9" s="3" t="inlineStr">
        <is>
          <t>CleanPro</t>
        </is>
      </c>
      <c r="E9" s="9" t="n">
        <v>390</v>
      </c>
      <c r="F9" s="3" t="n">
        <v>6</v>
      </c>
      <c r="G9" s="3" t="n">
        <v>3</v>
      </c>
      <c r="H9" s="3">
        <f>IF(F9&lt;=G9,"REORDER","OK")</f>
        <v/>
      </c>
      <c r="I9" s="9">
        <f>E9*F9</f>
        <v/>
      </c>
      <c r="J9" s="3" t="inlineStr">
        <is>
          <t>Store C1</t>
        </is>
      </c>
    </row>
    <row r="10">
      <c r="A10" s="3" t="inlineStr">
        <is>
          <t>OFF-009</t>
        </is>
      </c>
      <c r="B10" s="3" t="inlineStr">
        <is>
          <t>Garbage Bags (Roll)</t>
        </is>
      </c>
      <c r="C10" s="3" t="inlineStr">
        <is>
          <t>Facilities</t>
        </is>
      </c>
      <c r="D10" s="3" t="inlineStr">
        <is>
          <t>CleanPro</t>
        </is>
      </c>
      <c r="E10" s="9" t="n">
        <v>95</v>
      </c>
      <c r="F10" s="3" t="n">
        <v>10</v>
      </c>
      <c r="G10" s="3" t="n">
        <v>5</v>
      </c>
      <c r="H10" s="3">
        <f>IF(F10&lt;=G10,"REORDER","OK")</f>
        <v/>
      </c>
      <c r="I10" s="9">
        <f>E10*F10</f>
        <v/>
      </c>
      <c r="J10" s="3" t="inlineStr">
        <is>
          <t>Store C1</t>
        </is>
      </c>
    </row>
    <row r="11">
      <c r="A11" s="3" t="inlineStr">
        <is>
          <t>OFF-010</t>
        </is>
      </c>
      <c r="B11" s="3" t="inlineStr">
        <is>
          <t>Tea/Coffee Supplies Box</t>
        </is>
      </c>
      <c r="C11" s="3" t="inlineStr">
        <is>
          <t>Pantry</t>
        </is>
      </c>
      <c r="D11" s="3" t="inlineStr">
        <is>
          <t>DailyNeeds</t>
        </is>
      </c>
      <c r="E11" s="9" t="n">
        <v>720</v>
      </c>
      <c r="F11" s="3" t="n">
        <v>2</v>
      </c>
      <c r="G11" s="3" t="n">
        <v>3</v>
      </c>
      <c r="H11" s="3">
        <f>IF(F11&lt;=G11,"REORDER","OK")</f>
        <v/>
      </c>
      <c r="I11" s="9">
        <f>E11*F11</f>
        <v/>
      </c>
      <c r="J11" s="3" t="inlineStr">
        <is>
          <t>Pantry D1</t>
        </is>
      </c>
    </row>
    <row r="12">
      <c r="A12" s="3" t="inlineStr">
        <is>
          <t>OFF-011</t>
        </is>
      </c>
      <c r="B12" s="3" t="inlineStr">
        <is>
          <t>Paper Cups (Pack)</t>
        </is>
      </c>
      <c r="C12" s="3" t="inlineStr">
        <is>
          <t>Pantry</t>
        </is>
      </c>
      <c r="D12" s="3" t="inlineStr">
        <is>
          <t>DailyNeeds</t>
        </is>
      </c>
      <c r="E12" s="9" t="n">
        <v>160</v>
      </c>
      <c r="F12" s="3" t="n">
        <v>8</v>
      </c>
      <c r="G12" s="3" t="n">
        <v>4</v>
      </c>
      <c r="H12" s="3">
        <f>IF(F12&lt;=G12,"REORDER","OK")</f>
        <v/>
      </c>
      <c r="I12" s="9">
        <f>E12*F12</f>
        <v/>
      </c>
      <c r="J12" s="3" t="inlineStr">
        <is>
          <t>Pantry D1</t>
        </is>
      </c>
    </row>
    <row r="13">
      <c r="A13" s="3" t="inlineStr">
        <is>
          <t>OFF-012</t>
        </is>
      </c>
      <c r="B13" s="3" t="inlineStr">
        <is>
          <t>Hand Sanitizer (1L)</t>
        </is>
      </c>
      <c r="C13" s="3" t="inlineStr">
        <is>
          <t>Facilities</t>
        </is>
      </c>
      <c r="D13" s="3" t="inlineStr">
        <is>
          <t>CleanPro</t>
        </is>
      </c>
      <c r="E13" s="9" t="n">
        <v>210</v>
      </c>
      <c r="F13" s="3" t="n">
        <v>5</v>
      </c>
      <c r="G13" s="3" t="n">
        <v>3</v>
      </c>
      <c r="H13" s="3">
        <f>IF(F13&lt;=G13,"REORDER","OK")</f>
        <v/>
      </c>
      <c r="I13" s="9">
        <f>E13*F13</f>
        <v/>
      </c>
      <c r="J13" s="3" t="inlineStr">
        <is>
          <t>Store C2</t>
        </is>
      </c>
    </row>
    <row r="14">
      <c r="A14" s="3" t="inlineStr">
        <is>
          <t>OFF-013</t>
        </is>
      </c>
      <c r="B14" s="3" t="inlineStr">
        <is>
          <t>HDMI Cable</t>
        </is>
      </c>
      <c r="C14" s="3" t="inlineStr">
        <is>
          <t>IT Supplies</t>
        </is>
      </c>
      <c r="D14" s="3" t="inlineStr">
        <is>
          <t>TechDesk</t>
        </is>
      </c>
      <c r="E14" s="9" t="n">
        <v>300</v>
      </c>
      <c r="F14" s="3" t="n">
        <v>1</v>
      </c>
      <c r="G14" s="3" t="n">
        <v>2</v>
      </c>
      <c r="H14" s="3">
        <f>IF(F14&lt;=G14,"REORDER","OK")</f>
        <v/>
      </c>
      <c r="I14" s="9">
        <f>E14*F14</f>
        <v/>
      </c>
      <c r="J14" s="3" t="inlineStr">
        <is>
          <t>Cabinet B3</t>
        </is>
      </c>
    </row>
    <row r="15">
      <c r="A15" s="3" t="inlineStr">
        <is>
          <t>OFF-014</t>
        </is>
      </c>
      <c r="B15" s="3" t="inlineStr">
        <is>
          <t>File Folders (Pack)</t>
        </is>
      </c>
      <c r="C15" s="3" t="inlineStr">
        <is>
          <t>Stationery</t>
        </is>
      </c>
      <c r="D15" s="3" t="inlineStr">
        <is>
          <t>PaperPoint</t>
        </is>
      </c>
      <c r="E15" s="9" t="n">
        <v>150</v>
      </c>
      <c r="F15" s="3" t="n">
        <v>12</v>
      </c>
      <c r="G15" s="3" t="n">
        <v>5</v>
      </c>
      <c r="H15" s="3">
        <f>IF(F15&lt;=G15,"REORDER","OK")</f>
        <v/>
      </c>
      <c r="I15" s="9">
        <f>E15*F15</f>
        <v/>
      </c>
      <c r="J15" s="3" t="inlineStr">
        <is>
          <t>Shelf A4</t>
        </is>
      </c>
    </row>
    <row r="16">
      <c r="A16" s="3" t="inlineStr">
        <is>
          <t>OFF-015</t>
        </is>
      </c>
      <c r="B16" s="3" t="inlineStr">
        <is>
          <t>Extension Board</t>
        </is>
      </c>
      <c r="C16" s="3" t="inlineStr">
        <is>
          <t>IT Supplies</t>
        </is>
      </c>
      <c r="D16" s="3" t="inlineStr">
        <is>
          <t>TechDesk</t>
        </is>
      </c>
      <c r="E16" s="9" t="n">
        <v>650</v>
      </c>
      <c r="F16" s="3" t="n">
        <v>3</v>
      </c>
      <c r="G16" s="3" t="n">
        <v>2</v>
      </c>
      <c r="H16" s="3">
        <f>IF(F16&lt;=G16,"REORDER","OK")</f>
        <v/>
      </c>
      <c r="I16" s="9">
        <f>E16*F16</f>
        <v/>
      </c>
      <c r="J16" s="3" t="inlineStr">
        <is>
          <t>Cabinet B3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30" customHeight="1">
      <c r="A1" s="8" t="inlineStr">
        <is>
          <t>Category</t>
        </is>
      </c>
      <c r="B1" s="8" t="inlineStr">
        <is>
          <t>SKU Count</t>
        </is>
      </c>
    </row>
    <row r="2">
      <c r="A2" s="3" t="inlineStr">
        <is>
          <t>Stationery</t>
        </is>
      </c>
      <c r="B2" s="3">
        <f>COUNTIF('Inventory Register'!C2:C1000,A2)</f>
        <v/>
      </c>
    </row>
    <row r="3">
      <c r="A3" s="3" t="inlineStr">
        <is>
          <t>IT Supplies</t>
        </is>
      </c>
      <c r="B3" s="3">
        <f>COUNTIF('Inventory Register'!C2:C1000,A3)</f>
        <v/>
      </c>
    </row>
    <row r="4">
      <c r="A4" s="3" t="inlineStr">
        <is>
          <t>Facilities</t>
        </is>
      </c>
      <c r="B4" s="3">
        <f>COUNTIF('Inventory Register'!C2:C1000,A4)</f>
        <v/>
      </c>
    </row>
    <row r="5">
      <c r="A5" s="3" t="inlineStr">
        <is>
          <t>Pantry</t>
        </is>
      </c>
      <c r="B5" s="3">
        <f>COUNTIF('Inventory Register'!C2:C1000,A5)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2026-10-09T13:27:05Z</dcterms:created>
  <dcterms:modified xmlns:dcterms="http://purl.org/dc/terms/" xmlns:xsi="http://www.w3.org/2001/XMLSchema-instance" xsi:type="dcterms:W3CDTF">2026-10-09T13:27:05Z</dcterms:modified>
</cp:coreProperties>
</file>